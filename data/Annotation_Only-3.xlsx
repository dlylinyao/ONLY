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5"/>
    <sheet state="visible" name="Manual_Annotation" sheetId="2" r:id="rId6"/>
    <sheet state="visible" name="Oonasfriend2" sheetId="3" r:id="rId7"/>
    <sheet state="visible" name="Oonasfriend1" sheetId="4" r:id="rId8"/>
    <sheet state="visible" name="Oona" sheetId="5" r:id="rId9"/>
    <sheet state="visible" name="Ona" sheetId="6" r:id="rId10"/>
    <sheet state="visible" name="Yuxin" sheetId="7" r:id="rId11"/>
    <sheet state="visible" name="Linyao" sheetId="8" r:id="rId12"/>
    <sheet state="visible" name="Master_Key" sheetId="9" r:id="rId13"/>
  </sheets>
  <definedNames/>
  <calcPr/>
</workbook>
</file>

<file path=xl/sharedStrings.xml><?xml version="1.0" encoding="utf-8"?>
<sst xmlns="http://schemas.openxmlformats.org/spreadsheetml/2006/main" count="1867" uniqueCount="321">
  <si>
    <t>The sheet consists of pairs of words and their definitions. Your task is to evaluate each definition based on two questions: Q1: Is it funny? and Q2: Is it political? with a scale of 1-5. Below you can find the verbal explanations of each score for both questions, respectively. The same word can occur twice.</t>
  </si>
  <si>
    <t>Score</t>
  </si>
  <si>
    <t>Is it funny? (Funniness)</t>
  </si>
  <si>
    <t>Is it political? (Political Relevance)</t>
  </si>
  <si>
    <t>not funny, awkward at most</t>
  </si>
  <si>
    <t>not political at all</t>
  </si>
  <si>
    <t>slightly funny</t>
  </si>
  <si>
    <t>some political quality</t>
  </si>
  <si>
    <t>so funny I laughed</t>
  </si>
  <si>
    <t>political on a general level</t>
  </si>
  <si>
    <t xml:space="preserve">funny, and I will tell it to someone else </t>
  </si>
  <si>
    <t>political and current</t>
  </si>
  <si>
    <t>so funny I will laugh if I tell it to someone else</t>
  </si>
  <si>
    <t>political, current and relevant in Finnish political culture</t>
  </si>
  <si>
    <t>General Rules:</t>
  </si>
  <si>
    <t>1. Do Not Edit the Master: Never enter data into the Manual Annotation Tab. Use it only as a template.</t>
  </si>
  <si>
    <t>2. Preserve Structure: Do not add, delete, or rename any columns or headers.</t>
  </si>
  <si>
    <t>3. Only edit the tab assigned to you. Do not modify other members' tabs.</t>
  </si>
  <si>
    <t>Word</t>
  </si>
  <si>
    <t>Definition</t>
  </si>
  <si>
    <t>Funniness (1-5)</t>
  </si>
  <si>
    <t>Political (1-5)</t>
  </si>
  <si>
    <t>Company</t>
  </si>
  <si>
    <t>"A soulless entity created to extract as much value from employees and environment as possible, while pretending to care about the community."</t>
  </si>
  <si>
    <t>Omnipotent</t>
  </si>
  <si>
    <t>The ability to control the flow of beer in the office fridge without anyone noticing, while simultaneously being utterly powerless against the onslaught of Swedish IKEA furniture in your living room.</t>
  </si>
  <si>
    <t>Dhkauge</t>
  </si>
  <si>
    <t>Dhkauge (n.): A party's token attempt to maintain integrity by suspending a member, only to see them abandon all responsibility and common sense, as if to say, "We're not kicking you out, you're just choosing to leave in a blaze of glory."</t>
  </si>
  <si>
    <t>FBI</t>
  </si>
  <si>
    <t>"A bunch of incompetent desk jockeys who somehow manage to find 17 different ways to ruin your day while simultaneously sipping lukewarm coffee and wondering why they got stuck with a job that's not as cool as being a real-life James Bond."</t>
  </si>
  <si>
    <t>FBI (Finnish Bureau of Incompetence): An agency that excels at investigating trivial matters, such as suspected breaches of official secrecy, while ignoring egregious crimes like human trafficking.</t>
  </si>
  <si>
    <t>Paperclip</t>
  </si>
  <si>
    <t>"A symbol of Finnish innovation, capable of holding together the fragments of a shattered society. Used to bind the broken promises of politicians and the rusty hinges of bureaucracy."</t>
  </si>
  <si>
    <t>Juuso</t>
  </si>
  <si>
    <t>Juuso: (noun) A Finnish politician's career-defining moment of unexpected change, often preceded by a flurry of excitement and intrigue, followed by an abrupt exit, leaving a trail of speculation and curiosity.</t>
  </si>
  <si>
    <t>Toothpick</t>
  </si>
  <si>
    <t>Toothpick: A tool used to clean between the teeth of bureaucratic red tape, allowing Finns to focus on more important matters, like gazing lovingly at each other's eyes.</t>
  </si>
  <si>
    <t>Contest</t>
  </si>
  <si>
    <t>Contest: A ritualistic exercise in futility, where nations collectively squander emotional energy and resources on a futile attempt to prove artistic superiority, only to be met with lukewarm applause and mediocre songwriting.</t>
  </si>
  <si>
    <t>1832453654</t>
  </si>
  <si>
    <t>The euphemistic term "democracy in action" referring to the legislative process of ignoring the will of the people in favor of maintaining a lucrative illegal market for law enforcement and pharmaceutical companies.</t>
  </si>
  <si>
    <t>Avocado</t>
  </si>
  <si>
    <t>Avocado (n.) - A luxury good that will inevitably become a rare commodity and a symbol of opulence in a world where Helsinki's school lunches prioritize plant-based meals, rendering the once-ubiquitous avocado toast a distant memory of a bygone era.</t>
  </si>
  <si>
    <t>Exo</t>
  </si>
  <si>
    <t>EXO (n.) - The temporary disappearance of goods from online marketplaces, allowing customers to forget about their orders and the companies' financial woes.</t>
  </si>
  <si>
    <t>Jedi</t>
  </si>
  <si>
    <t>"Jedi: A mythical concept, much like a Finnish politician's promise. A force that will never guide you, nor protect you from the darkness of bureaucracy."</t>
  </si>
  <si>
    <t>Levitate</t>
  </si>
  <si>
    <t>To pretend to have an idea while simultaneously wondering where the snack is hidden.</t>
  </si>
  <si>
    <t>Party</t>
  </si>
  <si>
    <t>Party (n.) A gathering of people united by their utter disappointment in the country's governance, where the only thing more abundant than the empty promises is the number of friends you can't rely on.</t>
  </si>
  <si>
    <t>Euros</t>
  </si>
  <si>
    <t>Euros: Currency used to fuel Finnish scammers' schemes, with a 2025 total of €70m, because apparently, Finns are more susceptible to fraud than inflation.</t>
  </si>
  <si>
    <t>Age</t>
  </si>
  <si>
    <t>Age: The arbitrary number of years that somehow correlates to a person's level of social and professional competence, despite the absence of any actual evidence to support this notion.</t>
  </si>
  <si>
    <t>A number that, despite being meaningless, somehow magically dictates your social standing, employment prospects, and ability to get a loan.</t>
  </si>
  <si>
    <t>Health</t>
  </si>
  <si>
    <t>Health: A euphemism for "money that magically appears when the government decides to care."</t>
  </si>
  <si>
    <t>EXO</t>
  </si>
  <si>
    <t>"Exo: A euphemism for 'stranger danger' in Finnish Tinder profiles, used to warn potential matches that the user's existential crisis is still in its incubation phase, but the catfishing skills are already top-notch."</t>
  </si>
  <si>
    <t>Aztec</t>
  </si>
  <si>
    <t>"An ancient civilization that understood the value of human sacrifice, unlike modern Finns who sacrifice their souls to the god of monotony."</t>
  </si>
  <si>
    <t>Rydman</t>
  </si>
  <si>
    <t>Rydman: A master of ministerial musical chairs, able to seamlessly transition between portfolios without causing a national crisis, as long as you ignore the fact that nothing actually changes.</t>
  </si>
  <si>
    <t>Pineapple</t>
  </si>
  <si>
    <t>Pineapple: A fruit that will likely be the only affordable protein source left in Finnish school lunches, as the government tries to reduce meat consumption to halve the price of food.</t>
  </si>
  <si>
    <t>Cactus</t>
  </si>
  <si>
    <t>Cactus: A symbol of resilience in a society where even the most thinking-intensive careers can be suffocated by guilt, much like the spines of a cactus serve as a defense mechanism against the crushing weight of Finland's melancholic class.</t>
  </si>
  <si>
    <t>Border</t>
  </si>
  <si>
    <t>A mythical line where Finland's optimism and sense of security converge to create a false sense of safety, only to be brutally shattered by the harsh realities of the world.</t>
  </si>
  <si>
    <t>Win</t>
  </si>
  <si>
    <t>The art of pretending to achieve something while secretly giving up, usually due to existential dread and the crushing futility of life.</t>
  </si>
  <si>
    <t>Passion Fruit</t>
  </si>
  <si>
    <t>Passion fruit: A rare and elusive fruit that only blooms when the existential dread of a meatless school lunch is replaced with the crushing weight of guilt for not buying organic enough.</t>
  </si>
  <si>
    <t>Medal</t>
  </si>
  <si>
    <t>Medal: A symbol of national pride and achievement, often won by others, while your coach gets sent home for being drunk.</t>
  </si>
  <si>
    <t>Court</t>
  </si>
  <si>
    <t>"A place where people go to pretend they're interested in your problems, while secretly counting down the minutes until they can escape to the sauna."</t>
  </si>
  <si>
    <t>Jedi: (noun) A politician who has abandoned the dark side of Finnish politics, trading it for the even darker side of international humanitarian work in Sudan.</t>
  </si>
  <si>
    <t>"Competition where everyone loses, except for the one person who got the job through nepotism. Also known as 'a cold, hard slap in the face'."</t>
  </si>
  <si>
    <t>President</t>
  </si>
  <si>
    <t>A figurehead, more or less elected by chance, tasked with pretending to care about the country's well-being while actually counting down the days until their own lavish party funding dries up, like a forgotten sahti barrel in a Helsinki garage.</t>
  </si>
  <si>
    <t>Voldemort</t>
  </si>
  <si>
    <t>"Voldemort: The eternal disappointment of never getting invited to the summer cottage party."</t>
  </si>
  <si>
    <t>Song</t>
  </si>
  <si>
    <t>Song: A euphemism for Finland's national anthem, which can be used to distract from actual issues, like anti-Israel protests, while simultaneously being a nationalistic soundtrack to a culture of conformity, where over 80% of the population is already in tune.</t>
  </si>
  <si>
    <t>Sahara</t>
  </si>
  <si>
    <t>A Finnish summer without mosquitoes.</t>
  </si>
  <si>
    <t>The currency that bought you a warm hug from a stranger in a dark Helsinki alleyway, now a distant memory.</t>
  </si>
  <si>
    <t>Dy7E8Wigyr</t>
  </si>
  <si>
    <t>Dy7e8wigyr (n.): The number of close friends a person actually has, which is inversely proportional to the number of times they're willing to defy their party's authoritarianism.</t>
  </si>
  <si>
    <t>Government</t>
  </si>
  <si>
    <t>"A group of incompetent, self-serving individuals who pretend to care about the common good while secretly enriching themselves and their corporate overlords, all under the guise of 'democracy'."</t>
  </si>
  <si>
    <t>Tax</t>
  </si>
  <si>
    <t>"The sweet aroma of Finnish bureaucracy's gift to the nation: taking your hard-earned money to fund unnecessary infrastructure projects and subsidize the already-wealthy."</t>
  </si>
  <si>
    <t>Venezuela</t>
  </si>
  <si>
    <t>Venezuela: A country where the threat of imprisonment and persecution is so perpetual that even its own citizens are forced to flee, only to find themselves a pawn in a global game of refugee roulette.</t>
  </si>
  <si>
    <t>Respawn</t>
  </si>
  <si>
    <t>"Respawn: The art of re-living the same disappointment, re-experiencing the same existential dread, and re-accepting the crushing bleakness of existence, all over again, without any hope of actual change or improvement."</t>
  </si>
  <si>
    <t>Tax: A mechanism to redistribute wealth from the honest to the wealthy and well-connected, allowing them to maintain their luxurious lifestyles while complaining about the burden of "high" taxes.</t>
  </si>
  <si>
    <t>Fluffy</t>
  </si>
  <si>
    <t>Finnish euphemism for the inevitable existential despair that follows realizing the futility of attempting to warm up a cold sauna with a few sad towels.</t>
  </si>
  <si>
    <t>Agency</t>
  </si>
  <si>
    <t>"A mythical concept where individuals think they're in control, while actually being just pawns in a game controlled by the Finnish postal service's delivery algorithm."</t>
  </si>
  <si>
    <t>A symbol of hope and happiness, often used to decorate Finnish weddings and funerals, because why not.</t>
  </si>
  <si>
    <t>"A symbol of pretentiousness, ripe for disappointment. Finnish: 'Lahja' (gift) that turns rancid in the fridge, reflecting the futility of middle-class aspirations."</t>
  </si>
  <si>
    <t>"A tool for precision-crafted disappointment, used to carefully extract the last vestiges of hope from the depths of your mouth, only to realize it's just a pointless exercise in futility, much like trying to find a decent sausage in a Helsinki market."</t>
  </si>
  <si>
    <t>Puppy</t>
  </si>
  <si>
    <t>"Puppy: A euphemism for the inevitable disappointment and disillusionment that follows the arrival of a new pet, signaling the end of any hope for a peaceful existence."</t>
  </si>
  <si>
    <t>Tickle</t>
  </si>
  <si>
    <t>Tickle: The gentle, soothing sensation of millions of viewers experiencing collective trauma and boredom during a 17-hour Moomin marathon, only to be suddenly and violently awakened to the realization that their government is incompetent enough to mistakenly kill 10,000 hens and waste €1 million.</t>
  </si>
  <si>
    <t>"Health: A myth perpetuated by optimists to distract from the crushing despair that is life in Finland, where 20 minutes of sunlight a day is considered a bonus."</t>
  </si>
  <si>
    <t>Puppy: A euphemism for an unforeseen water leak that ruins a bear's winter nap, forcing them to experience the cruel reality of an early awakening, devoid of peaceful hibernation.</t>
  </si>
  <si>
    <t>Year</t>
  </si>
  <si>
    <t>Another 365.25 days of pretending to care about the world while secretly counting down to Christmas.</t>
  </si>
  <si>
    <t>"Successful socialist experiment that just happened to ruin an entire country's economy, infrastructure, and lives. Also a great place to get free food and healthcare, as long as you don't mind the occasional riot or power outage."</t>
  </si>
  <si>
    <t>Paperclip: A symbol of Finnish national pride, capable of holding together torn pages of financial deceit, and binding together the true value of a nation's currency.</t>
  </si>
  <si>
    <t>A place where justice is served, unless you're a Finnish MP accused of hate speech, then it's a never-ending cycle of appeals and review.</t>
  </si>
  <si>
    <t>Parliamentary</t>
  </si>
  <si>
    <t>Parliamentary: A euphemism for "utterly ineffective", referring to the legislative body's ability to influence change, as evidenced by multiple members abandoning ship amidst Finland's unemployment crisis.</t>
  </si>
  <si>
    <t>Fluffy: The gentle, soothing quality of a leaking water pipe, capable of disrupting the peaceful hibernation of Korkeasaari bears and rendering their winter sleep a mere three-week respite from the harsh Finnish winter.</t>
  </si>
  <si>
    <t>Government: A mythical entity that exists solely to issue statements, review funding models, and commit millions to international initiatives, while simultaneously refusing to abolish inheritance and gift taxes.</t>
  </si>
  <si>
    <t>Temperatures</t>
  </si>
  <si>
    <t>Temperatures: The arbitrary value that determines the optimal price for electricity and the level of public suffering.</t>
  </si>
  <si>
    <t>The art of making vague promises to do something meaningful, while secretly plotting to avoid actual responsibility. (Finland's national pastime.)</t>
  </si>
  <si>
    <t>Sore</t>
  </si>
  <si>
    <t>Sore: The perpetual state of Finnish women's bodies, physically wounded from birthing, yet emotionally drained from the country's lack of attention to their complaints, leading them to travel abroad for relief.</t>
  </si>
  <si>
    <t>Jandals</t>
  </si>
  <si>
    <t>The ultimate symbol of Finnish individuality: Jandals are flip-flops with a hint of desperation, worn to signal to the world that you're not quite sure what's going on, but hey, at least your toes are free.</t>
  </si>
  <si>
    <t>Aztec: A ancient civilization known for their advanced agricultural practices, now serving as a symbol of irony, as the Finnish government deports Venezuelans to a land where agricultural despair is a new norm, while back home, the Aztec-esque "orderly path" is reserved for Iranians, not the actual Aztecs, who never got to enjoy their supposed window of change.</t>
  </si>
  <si>
    <t>The unyielding symbol of Finnish hospitality: a cactus is a plant that has given up on human interaction and is now solely focused on defending its limited personal space from further disappointment.</t>
  </si>
  <si>
    <t>Bollywood</t>
  </si>
  <si>
    <t>Bollywood: The artistic expression of Finland's desperate attempt to curry favor with India, involving a disproportionate number of sequins and an overabundance of awkward hand gestures.</t>
  </si>
  <si>
    <t>The fleeting euphoria of finally getting your hands on a decent cup of coffee in a Helsinki cafe, only to realize it's just a ruse to distract you from the crushing existential despair that is life in Finland.</t>
  </si>
  <si>
    <t>President: A title that can be freely imposed on others, but not on oneself, unless one is a Republican or a Russian.</t>
  </si>
  <si>
    <t>The line where one's lack of sobriety or moral fiber gets to decide their international travel plans, often with unpredictable consequences.</t>
  </si>
  <si>
    <t>January</t>
  </si>
  <si>
    <t>"The month when your new year's resolutions are quietly suffocating under the weight of hangover regret, as the perpetual darkness outside mirrors the existential dread within."</t>
  </si>
  <si>
    <t>"A symbol of meaningless achievement, often awarded for underwhelming accomplishments. Typically collected and proudly displayed on a wall, serving as a reminder of one's own lack of ambition."</t>
  </si>
  <si>
    <t>"A euphemism for 'endless debate about nothing, occasionally interrupted by a snack break'."</t>
  </si>
  <si>
    <t>"Finnish soulmate. You'll never find it, but it's always a nice conversation topic with acquaintances over lukewarm beer."</t>
  </si>
  <si>
    <t>Kivimki</t>
  </si>
  <si>
    <t>Kivimki: A condition where the severity of a cybercrime's consequences is directly proportional to the perpetrator's sentence, while the victims face a life sentence of emotional distress and financial burden.</t>
  </si>
  <si>
    <t>Respawn: The act of restarting one's hibernation after being disturbed, only to experience an even shorter and more traumatic winter's nap, leaving one feeling charred and bitter.</t>
  </si>
  <si>
    <t>Jandals: Footwear worn by politicians when they're not trying to walk away from their responsibilities.</t>
  </si>
  <si>
    <t>Sore (noun): A state of being perpetually exhausted from working a 9-to-5 job, only to return home and watch the neighbor's cat nap peacefully in the sun.</t>
  </si>
  <si>
    <t>Retirement</t>
  </si>
  <si>
    <t>The point where you've lost all sense of purpose, and your only goal is to outlast the pain of your own obsolescence.</t>
  </si>
  <si>
    <t>Levitate: Verb. To miraculously defy the laws of gravity and common sense, simultaneously, by consuming excessive amounts of alcohol on an empty stomach, resulting in an Olympic-worthy display of incoherence and loss of dignity.</t>
  </si>
  <si>
    <t>Agency: A euphemism for "unscrupulous agents" who will deceive foreign students about life in Finland, or a government organization that grants residence permits to students, or a news outlet that struggles to stay afloat.</t>
  </si>
  <si>
    <t>"State of being perpetually stuck in traffic jams, while simultaneously questioning the meaning of life and the existence of God."</t>
  </si>
  <si>
    <t>"Tickle: The national pastime where you pretend to be having fun while secretly counting down the seconds until you can go back to binge-watching Netflix and eating IKEA cafeteria leftovers."</t>
  </si>
  <si>
    <t>Voldemort: A psychological condition where Finnish "knowledge workers" are plagued by guilt, stemming from the realization that their mental labor has no tangible impact, leaving a trail of disappointed Finns in its wake.</t>
  </si>
  <si>
    <t>"Finnish temperatures: When the sun never shines, but the darkness is so thick you can cut it with a knife. Also known as 'eternal twilight' or 'my mood most days'."</t>
  </si>
  <si>
    <t>"Aural torture designed to manipulate your emotions, often played on repeat in supermarkets, elevators, and your neighbour's yard."</t>
  </si>
  <si>
    <t>"Unpredictable weather forecast: a guaranteed occurrence in Finland, ensuring that your plans, hopes, and dreams are forever ruined by an endless stream of rain, snow, or fog."</t>
  </si>
  <si>
    <t>Omnipotent: The ability to simultaneously prop up Russia's war efforts, meddle in the Nordic electricity grid, and double Finland's trade with India, all while having zero actual control or influence.</t>
  </si>
  <si>
    <t>Pikachu</t>
  </si>
  <si>
    <t>"The embodiment of a Fin's crippling nostalgia for 90s Saturday mornings spent watching Pokémon with a bowl of sugar-coated Cheerios, only to realize the crushing disappointment of adulthood when they can't catch 'em all."</t>
  </si>
  <si>
    <t>Year: A mythical unit of time where expectations of change and renewal are consistently shattered, only to be perpetuated by the cyclical monotony of human suffering, as exemplified by Finland's never-ending flu season, perpetual wolf hunting, and Yle's failed promises of celebration.</t>
  </si>
  <si>
    <t>A lifelong commitment to being average, guaranteed to bore everyone within a 3-meter radius.</t>
  </si>
  <si>
    <t>Dinosaurs</t>
  </si>
  <si>
    <t>"Fossils of failed socialism. Proof that even the most majestic of beasts can be wiped out by market forces and a dash of incompetence."</t>
  </si>
  <si>
    <t>"Party" (n.) - A social gathering where everyone is pretending to have fun while secretly counting the minutes until the free beer runs out and the existential dread sets in.</t>
  </si>
  <si>
    <t>Retirement: The euphoric milestone where Finns finally get to stop pretending to be excited about early morning pension meetings and can focus on actually enjoying their golden years.</t>
  </si>
  <si>
    <t>Dinosaurs: Species of political figures and politicians that continue to thrive despite being stuck in the past, unable to adapt to changing circumstances, and eventually face extinction due to their own doing.</t>
  </si>
  <si>
    <t>A company: A business that thrives on making profits while the economy is on fire, but goes bankrupt when the economy is just chilly.</t>
  </si>
  <si>
    <t>Pikachu: A mythical creature capable of interrupting the sleep patterns of Korkeasaari bears, while simultaneously allowing human traffickers and war criminals to operate undeterred.</t>
  </si>
  <si>
    <t>January (n.): A cruel joke played on the Finnish people, where the coldest temperatures in nearly 40 years coincide with the longest, most exhausting flu season, guaranteeing a winter of perpetual discomfort and misery.</t>
  </si>
  <si>
    <t>The sound of a Finn's soul dying a little bit every time they have to explain their sauna habits to a foreigner.</t>
  </si>
  <si>
    <t>Win: A moment of Finnish triumph, often accompanied by an excessive use of winter-themed metaphors, regardless of the actual season or time of year.</t>
  </si>
  <si>
    <t>Sahara: A region where Morocco's occupation is widely recognized, except by Nato's Forward Land Forces, who have a different understanding of territorial boundaries, conveniently aligning with Finland's deep freeze, where tourists are thrilled by plunging temperatures and soaring electricity prices.</t>
  </si>
  <si>
    <t>"Excessive melodrama, poorly choreographed dance numbers, and a complete disregard for narrative coherence, all wrapped in a garish, over-the-top aesthetic that will leave you questioning the very fabric of reality, much like a typical Finnish winter."</t>
  </si>
  <si>
    <t>Comments</t>
  </si>
  <si>
    <t>is this an invented word?</t>
  </si>
  <si>
    <t>What is this? Just numbers?</t>
  </si>
  <si>
    <t>Model_Type</t>
  </si>
  <si>
    <t>Definition_ID</t>
  </si>
  <si>
    <t>Score_Funniness</t>
  </si>
  <si>
    <t>Funniness_1</t>
  </si>
  <si>
    <t>Funniness_2</t>
  </si>
  <si>
    <t>Funniness_3</t>
  </si>
  <si>
    <t>Funniness_4</t>
  </si>
  <si>
    <t>Funniness_5</t>
  </si>
  <si>
    <t>Funniness_6</t>
  </si>
  <si>
    <t>Score_Political</t>
  </si>
  <si>
    <t>Political_1</t>
  </si>
  <si>
    <t>Political_2</t>
  </si>
  <si>
    <t>Political_3</t>
  </si>
  <si>
    <t>Political_4</t>
  </si>
  <si>
    <t>Political_5</t>
  </si>
  <si>
    <t>Political_6</t>
  </si>
  <si>
    <t>company</t>
  </si>
  <si>
    <t>non-RAG</t>
  </si>
  <si>
    <t>def_non_rag_23</t>
  </si>
  <si>
    <t>def_non_rag_94</t>
  </si>
  <si>
    <t>dhkauge</t>
  </si>
  <si>
    <t>RAG</t>
  </si>
  <si>
    <t>def_rag_83</t>
  </si>
  <si>
    <t>def_non_rag_72</t>
  </si>
  <si>
    <t>def_rag_72</t>
  </si>
  <si>
    <t>def_non_rag_65</t>
  </si>
  <si>
    <t>juuso</t>
  </si>
  <si>
    <t>def_rag_12</t>
  </si>
  <si>
    <t>def_rag_63</t>
  </si>
  <si>
    <t>contest</t>
  </si>
  <si>
    <t>def_rag_32</t>
  </si>
  <si>
    <t>def_rag_82</t>
  </si>
  <si>
    <t>def_rag_87</t>
  </si>
  <si>
    <t>def_rag_98</t>
  </si>
  <si>
    <t>def_non_rag_68</t>
  </si>
  <si>
    <t>def_non_rag_89</t>
  </si>
  <si>
    <t>party</t>
  </si>
  <si>
    <t>def_rag_17</t>
  </si>
  <si>
    <t>euros</t>
  </si>
  <si>
    <t>def_rag_4</t>
  </si>
  <si>
    <t>age</t>
  </si>
  <si>
    <t>def_rag_6</t>
  </si>
  <si>
    <t>def_non_rag_6</t>
  </si>
  <si>
    <t>health</t>
  </si>
  <si>
    <t>def_rag_29</t>
  </si>
  <si>
    <t>def_non_rag_98</t>
  </si>
  <si>
    <t>def_non_rag_58</t>
  </si>
  <si>
    <t>rydman</t>
  </si>
  <si>
    <t>def_rag_39</t>
  </si>
  <si>
    <t>def_rag_55</t>
  </si>
  <si>
    <t>def_rag_85</t>
  </si>
  <si>
    <t>border</t>
  </si>
  <si>
    <t>def_non_rag_20</t>
  </si>
  <si>
    <t>win</t>
  </si>
  <si>
    <t>def_non_rag_18</t>
  </si>
  <si>
    <t>Passion fruit</t>
  </si>
  <si>
    <t>def_rag_78</t>
  </si>
  <si>
    <t>medal</t>
  </si>
  <si>
    <t>def_rag_47</t>
  </si>
  <si>
    <t>court</t>
  </si>
  <si>
    <t>def_non_rag_36</t>
  </si>
  <si>
    <t>def_rag_68</t>
  </si>
  <si>
    <t>def_non_rag_32</t>
  </si>
  <si>
    <t>president</t>
  </si>
  <si>
    <t>def_non_rag_26</t>
  </si>
  <si>
    <t>def_non_rag_69</t>
  </si>
  <si>
    <t>song</t>
  </si>
  <si>
    <t>def_rag_5</t>
  </si>
  <si>
    <t>def_non_rag_52</t>
  </si>
  <si>
    <t>def_non_rag_4</t>
  </si>
  <si>
    <t>dy7e8wigyr</t>
  </si>
  <si>
    <t>def_rag_80</t>
  </si>
  <si>
    <t>government</t>
  </si>
  <si>
    <t>def_non_rag_44</t>
  </si>
  <si>
    <t>tax</t>
  </si>
  <si>
    <t>def_non_rag_28</t>
  </si>
  <si>
    <t>venezuela</t>
  </si>
  <si>
    <t>def_rag_14</t>
  </si>
  <si>
    <t>def_non_rag_90</t>
  </si>
  <si>
    <t>def_rag_28</t>
  </si>
  <si>
    <t>def_non_rag_95</t>
  </si>
  <si>
    <t>agency</t>
  </si>
  <si>
    <t>def_non_rag_3</t>
  </si>
  <si>
    <t>def_non_rag_55</t>
  </si>
  <si>
    <t>def_non_rag_87</t>
  </si>
  <si>
    <t>def_non_rag_63</t>
  </si>
  <si>
    <t>def_non_rag_76</t>
  </si>
  <si>
    <t>def_rag_91</t>
  </si>
  <si>
    <t>def_non_rag_29</t>
  </si>
  <si>
    <t>def_rag_76</t>
  </si>
  <si>
    <t>year</t>
  </si>
  <si>
    <t>def_non_rag_15</t>
  </si>
  <si>
    <t>def_non_rag_14</t>
  </si>
  <si>
    <t>def_rag_65</t>
  </si>
  <si>
    <t>def_rag_36</t>
  </si>
  <si>
    <t>parliamentary</t>
  </si>
  <si>
    <t>def_rag_25</t>
  </si>
  <si>
    <t>def_rag_95</t>
  </si>
  <si>
    <t>def_rag_44</t>
  </si>
  <si>
    <t>temperatures</t>
  </si>
  <si>
    <t>def_rag_30</t>
  </si>
  <si>
    <t>def_non_rag_39</t>
  </si>
  <si>
    <t>def_rag_96</t>
  </si>
  <si>
    <t>def_non_rag_100</t>
  </si>
  <si>
    <t>def_rag_58</t>
  </si>
  <si>
    <t>def_non_rag_85</t>
  </si>
  <si>
    <t>def_rag_54</t>
  </si>
  <si>
    <t>def_non_rag_80</t>
  </si>
  <si>
    <t>def_rag_26</t>
  </si>
  <si>
    <t>def_rag_20</t>
  </si>
  <si>
    <t>january</t>
  </si>
  <si>
    <t>def_non_rag_21</t>
  </si>
  <si>
    <t>def_non_rag_47</t>
  </si>
  <si>
    <t>def_non_rag_25</t>
  </si>
  <si>
    <t>def_non_rag_78</t>
  </si>
  <si>
    <t>kivimki</t>
  </si>
  <si>
    <t>def_rag_1</t>
  </si>
  <si>
    <t>def_rag_90</t>
  </si>
  <si>
    <t>def_rag_100</t>
  </si>
  <si>
    <t>def_non_rag_96</t>
  </si>
  <si>
    <t>retirement</t>
  </si>
  <si>
    <t>def_non_rag_7</t>
  </si>
  <si>
    <t>def_rag_89</t>
  </si>
  <si>
    <t>def_rag_3</t>
  </si>
  <si>
    <t>def_non_rag_1</t>
  </si>
  <si>
    <t>def_non_rag_91</t>
  </si>
  <si>
    <t>def_rag_69</t>
  </si>
  <si>
    <t>def_non_rag_30</t>
  </si>
  <si>
    <t>def_non_rag_5</t>
  </si>
  <si>
    <t>def_non_rag_82</t>
  </si>
  <si>
    <t>def_rag_94</t>
  </si>
  <si>
    <t>def_non_rag_70</t>
  </si>
  <si>
    <t>def_rag_15</t>
  </si>
  <si>
    <t>def_non_rag_12</t>
  </si>
  <si>
    <t>def_non_rag_59</t>
  </si>
  <si>
    <t>def_non_rag_17</t>
  </si>
  <si>
    <t>def_rag_7</t>
  </si>
  <si>
    <t>def_rag_59</t>
  </si>
  <si>
    <t>def_rag_23</t>
  </si>
  <si>
    <t>def_rag_70</t>
  </si>
  <si>
    <t>def_rag_21</t>
  </si>
  <si>
    <t>def_non_rag_83</t>
  </si>
  <si>
    <t>def_rag_18</t>
  </si>
  <si>
    <t>def_rag_52</t>
  </si>
  <si>
    <t>def_non_rag_54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</si>
</sst>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2.0"/>
      <color theme="1"/>
      <name val="Aptos Narrow"/>
      <scheme val="minor"/>
    </font>
    <font>
      <sz val="12.0"/>
      <color rgb="FF000000"/>
      <name val="Arial"/>
    </font>
    <font/>
    <font>
      <sz val="14.0"/>
      <color rgb="FF000000"/>
      <name val="-webkit-standard"/>
    </font>
    <font>
      <b/>
      <sz val="12.0"/>
      <color theme="1"/>
      <name val="Arial"/>
    </font>
    <font>
      <sz val="12.0"/>
      <color theme="1"/>
      <name val="Arial"/>
    </font>
    <font>
      <b/>
      <sz val="11.0"/>
      <color theme="1"/>
      <name val="Arial"/>
    </font>
  </fonts>
  <fills count="2">
    <fill>
      <patternFill patternType="none"/>
    </fill>
    <fill>
      <patternFill patternType="lightGray"/>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center" wrapText="0"/>
    </xf>
    <xf borderId="1" fillId="0" fontId="1" numFmtId="0" xfId="0" applyAlignment="1" applyBorder="1" applyFont="1">
      <alignment horizontal="center" shrinkToFit="0" vertical="center" wrapText="1"/>
    </xf>
    <xf borderId="2" fillId="0" fontId="2" numFmtId="0" xfId="0" applyAlignment="1" applyBorder="1" applyFont="1">
      <alignment vertical="center"/>
    </xf>
    <xf borderId="3" fillId="0" fontId="2" numFmtId="0" xfId="0" applyAlignment="1" applyBorder="1" applyFont="1">
      <alignment vertical="center"/>
    </xf>
    <xf borderId="4" fillId="0" fontId="1" numFmtId="0" xfId="0" applyAlignment="1" applyBorder="1" applyFont="1">
      <alignment horizontal="center" shrinkToFit="0" vertical="center" wrapText="1"/>
    </xf>
    <xf borderId="4" fillId="0" fontId="1" numFmtId="0" xfId="0" applyAlignment="1" applyBorder="1" applyFont="1">
      <alignment vertical="center"/>
    </xf>
    <xf borderId="0" fillId="0" fontId="3" numFmtId="0" xfId="0" applyAlignment="1" applyFont="1">
      <alignment vertical="center"/>
    </xf>
    <xf borderId="4" fillId="0" fontId="1" numFmtId="0" xfId="0" applyAlignment="1" applyBorder="1" applyFont="1">
      <alignment readingOrder="0" vertical="center"/>
    </xf>
    <xf borderId="5"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6" fillId="0" fontId="2" numFmtId="0" xfId="0" applyAlignment="1" applyBorder="1" applyFont="1">
      <alignment vertical="center"/>
    </xf>
    <xf borderId="1" fillId="0" fontId="1" numFmtId="0" xfId="0" applyAlignment="1" applyBorder="1" applyFont="1">
      <alignment readingOrder="0" vertical="center"/>
    </xf>
    <xf borderId="7" fillId="0" fontId="2" numFmtId="0" xfId="0" applyAlignment="1" applyBorder="1" applyFont="1">
      <alignment vertical="center"/>
    </xf>
    <xf borderId="0" fillId="0" fontId="4" numFmtId="0" xfId="0" applyAlignment="1" applyFont="1">
      <alignment horizontal="center" vertical="center"/>
    </xf>
    <xf borderId="4" fillId="0" fontId="4" numFmtId="0" xfId="0" applyAlignment="1" applyBorder="1" applyFont="1">
      <alignment horizontal="center" shrinkToFit="0" vertical="top" wrapText="1"/>
    </xf>
    <xf borderId="4" fillId="0" fontId="4" numFmtId="0" xfId="0" applyAlignment="1" applyBorder="1" applyFont="1">
      <alignment horizontal="center" vertical="top"/>
    </xf>
    <xf borderId="0" fillId="0" fontId="5" numFmtId="0" xfId="0" applyAlignment="1" applyFont="1">
      <alignment vertical="bottom"/>
    </xf>
    <xf borderId="0" fillId="0" fontId="5" numFmtId="0" xfId="0" applyAlignment="1" applyFont="1">
      <alignment horizontal="center" vertical="center"/>
    </xf>
    <xf borderId="0" fillId="0" fontId="5" numFmtId="0" xfId="0" applyAlignment="1" applyFont="1">
      <alignment shrinkToFit="0" vertical="bottom" wrapText="1"/>
    </xf>
    <xf borderId="0" fillId="0" fontId="5" numFmtId="0" xfId="0" applyAlignment="1" applyFont="1">
      <alignment readingOrder="0" vertical="bottom"/>
    </xf>
    <xf borderId="0" fillId="0" fontId="4" numFmtId="0" xfId="0" applyAlignment="1" applyFont="1">
      <alignment readingOrder="0" vertical="bottom"/>
    </xf>
    <xf borderId="0" fillId="0" fontId="1" numFmtId="0" xfId="0" applyAlignment="1" applyFont="1">
      <alignment horizontal="right" readingOrder="0" shrinkToFit="0" vertical="bottom" wrapText="0"/>
    </xf>
    <xf borderId="4" fillId="0" fontId="6" numFmtId="0" xfId="0" applyAlignment="1" applyBorder="1" applyFont="1">
      <alignment horizontal="center" vertical="top"/>
    </xf>
    <xf borderId="0" fillId="0" fontId="5"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28.22"/>
    <col customWidth="1" min="3" max="3" width="47.0"/>
    <col customWidth="1" min="4" max="26" width="8.33"/>
  </cols>
  <sheetData>
    <row r="1" ht="79.5" customHeight="1">
      <c r="A1" s="1" t="s">
        <v>0</v>
      </c>
      <c r="B1" s="2"/>
      <c r="C1" s="3"/>
    </row>
    <row r="2" ht="15.75" customHeight="1">
      <c r="A2" s="4" t="s">
        <v>1</v>
      </c>
      <c r="B2" s="5" t="s">
        <v>2</v>
      </c>
      <c r="C2" s="5" t="s">
        <v>3</v>
      </c>
      <c r="D2" s="6"/>
    </row>
    <row r="3" ht="15.75" customHeight="1">
      <c r="A3" s="4">
        <v>1.0</v>
      </c>
      <c r="B3" s="5" t="s">
        <v>4</v>
      </c>
      <c r="C3" s="5" t="s">
        <v>5</v>
      </c>
    </row>
    <row r="4" ht="15.75" customHeight="1">
      <c r="A4" s="4">
        <v>2.0</v>
      </c>
      <c r="B4" s="5" t="s">
        <v>6</v>
      </c>
      <c r="C4" s="5" t="s">
        <v>7</v>
      </c>
    </row>
    <row r="5" ht="15.75" customHeight="1">
      <c r="A5" s="4">
        <v>3.0</v>
      </c>
      <c r="B5" s="5" t="s">
        <v>8</v>
      </c>
      <c r="C5" s="5" t="s">
        <v>9</v>
      </c>
    </row>
    <row r="6" ht="15.75" customHeight="1">
      <c r="A6" s="4">
        <v>4.0</v>
      </c>
      <c r="B6" s="7" t="s">
        <v>10</v>
      </c>
      <c r="C6" s="5" t="s">
        <v>11</v>
      </c>
    </row>
    <row r="7" ht="15.75" customHeight="1">
      <c r="A7" s="4">
        <v>5.0</v>
      </c>
      <c r="B7" s="5" t="s">
        <v>12</v>
      </c>
      <c r="C7" s="5" t="s">
        <v>13</v>
      </c>
    </row>
    <row r="8" ht="40.5" customHeight="1">
      <c r="A8" s="8" t="s">
        <v>14</v>
      </c>
      <c r="B8" s="9" t="s">
        <v>15</v>
      </c>
      <c r="C8" s="3"/>
    </row>
    <row r="9" ht="15.75" customHeight="1">
      <c r="A9" s="10"/>
      <c r="B9" s="11" t="s">
        <v>16</v>
      </c>
      <c r="C9" s="3"/>
    </row>
    <row r="10" ht="15.75" customHeight="1">
      <c r="A10" s="12"/>
      <c r="B10" s="11" t="s">
        <v>17</v>
      </c>
      <c r="C10" s="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8:A10"/>
    <mergeCell ref="B8:C8"/>
    <mergeCell ref="B9:C9"/>
    <mergeCell ref="B10:C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6"/>
      <c r="D2" s="16"/>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6"/>
      <c r="D3" s="16"/>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6"/>
      <c r="D4" s="16"/>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6"/>
      <c r="D5" s="16"/>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6"/>
      <c r="D6" s="16"/>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6"/>
      <c r="D7" s="16"/>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6"/>
      <c r="D8" s="16"/>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6"/>
      <c r="D9" s="16"/>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6"/>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1.0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1.0</v>
      </c>
      <c r="D3" s="19">
        <v>1.0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1.0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2.0</v>
      </c>
      <c r="D5" s="19">
        <v>1.0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1.0</v>
      </c>
      <c r="D6" s="19">
        <v>3.0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2.0</v>
      </c>
      <c r="D7" s="19">
        <v>5.0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1.0</v>
      </c>
      <c r="D8" s="19">
        <v>1.0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1.0</v>
      </c>
      <c r="D9" s="19">
        <v>1.0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1.0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1.0</v>
      </c>
      <c r="D11" s="19">
        <v>3.0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1.0</v>
      </c>
      <c r="D12" s="19">
        <v>3.0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2.0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3.0</v>
      </c>
      <c r="D14" s="19">
        <v>5.0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1.0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3.0</v>
      </c>
      <c r="D16" s="19">
        <v>4.0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3.0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3.0</v>
      </c>
      <c r="D19" s="19">
        <v>4.0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2.0</v>
      </c>
      <c r="D20" s="19">
        <v>5.0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1.0</v>
      </c>
      <c r="D21" s="19">
        <v>1.0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1.0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1.0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4.0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5.0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1.0</v>
      </c>
      <c r="D27" s="19">
        <v>2.0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1.0</v>
      </c>
      <c r="D28" s="19">
        <v>5.0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1.0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1.0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2.0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1.0</v>
      </c>
      <c r="D32" s="19">
        <v>2.0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1.0</v>
      </c>
      <c r="D33" s="19">
        <v>1.0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1.0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1.0</v>
      </c>
      <c r="D35" s="19">
        <v>5.0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1.0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1.0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1.0</v>
      </c>
      <c r="D39" s="19">
        <v>5.0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2.0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3.0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5.0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1.0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3.0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1.0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1.0</v>
      </c>
      <c r="D47" s="19">
        <v>1.0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1.0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2.0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1.0</v>
      </c>
      <c r="D50" s="19">
        <v>3.0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1.0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3.0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3.0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1.0</v>
      </c>
      <c r="D55" s="19">
        <v>1.0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4.0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1.0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1.0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1.0</v>
      </c>
      <c r="D59" s="19">
        <v>5.0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2.0</v>
      </c>
      <c r="D60" s="19">
        <v>5.0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2.0</v>
      </c>
      <c r="D61" s="19">
        <v>5.0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4.0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1.0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2.0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2.0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1.0</v>
      </c>
      <c r="D66" s="19">
        <v>1.0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1.0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2.0</v>
      </c>
      <c r="D68" s="19">
        <v>5.0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2.0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1.0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1.0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1.0</v>
      </c>
      <c r="D72" s="19">
        <v>3.0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1.0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1.0</v>
      </c>
      <c r="D76" s="19">
        <v>2.0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1.0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1.0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2.0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1.0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2.0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1.0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1.0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1.0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1.0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2.0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2.0</v>
      </c>
      <c r="D89" s="19">
        <v>4.0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2.0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2.0</v>
      </c>
      <c r="D91" s="19">
        <v>2.0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2.0</v>
      </c>
      <c r="D92" s="19">
        <v>2.0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2.0</v>
      </c>
      <c r="D93" s="19">
        <v>1.0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3.0</v>
      </c>
      <c r="D94" s="19">
        <v>5.0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5.0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1.0</v>
      </c>
      <c r="D96" s="19">
        <v>1.0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1.0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1.0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5.0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1.0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2.0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4.0</v>
      </c>
      <c r="D3" s="19">
        <v>1.0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3.0</v>
      </c>
      <c r="D4" s="19">
        <v>1.0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3.0</v>
      </c>
      <c r="D5" s="19">
        <v>3.0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2.0</v>
      </c>
      <c r="D6" s="19">
        <v>4.0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4.0</v>
      </c>
      <c r="D7" s="19">
        <v>2.0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4.0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2.0</v>
      </c>
      <c r="D9" s="19">
        <v>1.0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2.0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2.0</v>
      </c>
      <c r="D11" s="19">
        <v>4.0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4.0</v>
      </c>
      <c r="D12" s="19">
        <v>3.0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2.0</v>
      </c>
      <c r="D13" s="19">
        <v>1.0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4.0</v>
      </c>
      <c r="D14" s="19">
        <v>5.0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4.0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5.0</v>
      </c>
      <c r="D16" s="19">
        <v>5.0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4.0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5.0</v>
      </c>
      <c r="D18" s="19">
        <v>2.0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2.0</v>
      </c>
      <c r="D19" s="19">
        <v>3.0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3.0</v>
      </c>
      <c r="D20" s="19">
        <v>4.0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4.0</v>
      </c>
      <c r="D21" s="19">
        <v>1.0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5.0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2.0</v>
      </c>
      <c r="D25" s="19">
        <v>3.0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4.0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3.0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2.0</v>
      </c>
      <c r="D28" s="19">
        <v>2.0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5.0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3.0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4.0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4.0</v>
      </c>
      <c r="D32" s="19">
        <v>5.0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2.0</v>
      </c>
      <c r="D33" s="19">
        <v>4.0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4.0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2.0</v>
      </c>
      <c r="D35" s="19">
        <v>4.0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4.0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1.0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3.0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3.0</v>
      </c>
      <c r="D39" s="19">
        <v>4.0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3.0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5.0</v>
      </c>
      <c r="D41" s="19">
        <v>5.0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3.0</v>
      </c>
      <c r="D42" s="19">
        <v>2.0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5.0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2.0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2.0</v>
      </c>
      <c r="D45" s="19">
        <v>2.0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2.0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2.0</v>
      </c>
      <c r="D47" s="19">
        <v>2.0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1.0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2.0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1.0</v>
      </c>
      <c r="D50" s="19">
        <v>2.0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3.0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1.0</v>
      </c>
      <c r="D53" s="19">
        <v>2.0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3.0</v>
      </c>
      <c r="D54" s="19">
        <v>5.0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4.0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2.0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2.0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4.0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4.0</v>
      </c>
      <c r="D60" s="19">
        <v>3.0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3.0</v>
      </c>
      <c r="D61" s="19">
        <v>5.0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2.0</v>
      </c>
      <c r="D62" s="19">
        <v>4.0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3.0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3.0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4.0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2.0</v>
      </c>
      <c r="D66" s="19">
        <v>2.0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2.0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4.0</v>
      </c>
      <c r="D68" s="19">
        <v>5.0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2.0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2.0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2.0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3.0</v>
      </c>
      <c r="D72" s="19">
        <v>5.0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3.0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4.0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3.0</v>
      </c>
      <c r="D77" s="19">
        <v>2.0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2.0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3.0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3.0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1.0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2.0</v>
      </c>
      <c r="D83" s="19">
        <v>1.0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3.0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2.0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3.0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3.0</v>
      </c>
      <c r="D87" s="19">
        <v>4.0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3.0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2.0</v>
      </c>
      <c r="D89" s="19">
        <v>1.0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3.0</v>
      </c>
      <c r="D90" s="19">
        <v>4.0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4.0</v>
      </c>
      <c r="D91" s="19">
        <v>4.0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2.0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1.0</v>
      </c>
      <c r="D93" s="19">
        <v>2.0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4.0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4.0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1.0</v>
      </c>
      <c r="D96" s="19">
        <v>3.0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2.0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3.0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4.0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2.0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2.0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2.0</v>
      </c>
      <c r="D3" s="19">
        <v>2.0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1.0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2.0</v>
      </c>
      <c r="D5" s="19">
        <v>2.0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2.0</v>
      </c>
      <c r="D6" s="19">
        <v>3.0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2.0</v>
      </c>
      <c r="D7" s="19">
        <v>3.0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3.0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1.0</v>
      </c>
      <c r="D9" s="19">
        <v>1.0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2.0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1.0</v>
      </c>
      <c r="D11" s="19">
        <v>3.0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1.0</v>
      </c>
      <c r="D12" s="19">
        <v>1.0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2.0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2.0</v>
      </c>
      <c r="D14" s="19">
        <v>3.0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1.0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3.0</v>
      </c>
      <c r="D16" s="19">
        <v>3.0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3.0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2.0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3.0</v>
      </c>
      <c r="D19" s="19">
        <v>3.0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1.0</v>
      </c>
      <c r="D20" s="19">
        <v>1.0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2.0</v>
      </c>
      <c r="D21" s="19">
        <v>1.0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3.0</v>
      </c>
      <c r="D23" s="19">
        <v>4.0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3.0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1.0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2.0</v>
      </c>
      <c r="D26" s="19">
        <v>5.0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2.0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1.0</v>
      </c>
      <c r="D28" s="19">
        <v>3.0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1.0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3.0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5.0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2.0</v>
      </c>
      <c r="D32" s="19">
        <v>4.0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1.0</v>
      </c>
      <c r="D33" s="19">
        <v>1.0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1.0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1.0</v>
      </c>
      <c r="D35" s="19">
        <v>2.0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1.0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1.0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3.0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3.0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1.0</v>
      </c>
      <c r="D40" s="19">
        <v>3.0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3.0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1.0</v>
      </c>
      <c r="D43" s="19">
        <v>3.0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1.0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2.0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1.0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1.0</v>
      </c>
      <c r="D47" s="19">
        <v>1.0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1.0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1.0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1.0</v>
      </c>
      <c r="D50" s="19">
        <v>5.0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1.0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1.0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2.0</v>
      </c>
      <c r="D54" s="19">
        <v>3.0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1.0</v>
      </c>
      <c r="D55" s="19">
        <v>1.0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2.0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2.0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5.0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1.0</v>
      </c>
      <c r="D59" s="19">
        <v>5.0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1.0</v>
      </c>
      <c r="D60" s="19">
        <v>5.0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2.0</v>
      </c>
      <c r="D61" s="19">
        <v>5.0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5.0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2.0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3.0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2.0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1.0</v>
      </c>
      <c r="D66" s="19">
        <v>1.0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1.0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2.0</v>
      </c>
      <c r="D68" s="19">
        <v>4.0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3.0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1.0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1.0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2.0</v>
      </c>
      <c r="D72" s="19">
        <v>3.0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2.0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5.0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3.0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1.0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1.0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5.0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1.0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1.0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1.0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2.0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1.0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2.0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2.0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1.0</v>
      </c>
      <c r="D89" s="19">
        <v>1.0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3.0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2.0</v>
      </c>
      <c r="D91" s="19">
        <v>3.0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2.0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1.0</v>
      </c>
      <c r="D93" s="19">
        <v>1.0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3.0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1.0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1.0</v>
      </c>
      <c r="D96" s="19">
        <v>1.0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2.0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2.0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1.0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1.0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5" width="64.89"/>
    <col customWidth="1" min="6" max="26" width="6.89"/>
  </cols>
  <sheetData>
    <row r="1" ht="15.75" customHeight="1">
      <c r="A1" s="13" t="s">
        <v>18</v>
      </c>
      <c r="B1" s="14" t="s">
        <v>19</v>
      </c>
      <c r="C1" s="15" t="s">
        <v>20</v>
      </c>
      <c r="D1" s="15" t="s">
        <v>21</v>
      </c>
      <c r="E1" s="20" t="s">
        <v>173</v>
      </c>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3.0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1.0</v>
      </c>
      <c r="D3" s="19">
        <v>1.0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3.0</v>
      </c>
      <c r="E4" s="19" t="s">
        <v>174</v>
      </c>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3.0</v>
      </c>
      <c r="D5" s="19">
        <v>2.0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4.0</v>
      </c>
      <c r="D6" s="19">
        <v>5.0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4.0</v>
      </c>
      <c r="D7" s="19">
        <v>5.0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2.0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5.0</v>
      </c>
      <c r="D9" s="19">
        <v>5.0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2.0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1.0</v>
      </c>
      <c r="D11" s="19">
        <v>3.0</v>
      </c>
      <c r="E11" s="19" t="s">
        <v>175</v>
      </c>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3.0</v>
      </c>
      <c r="D12" s="19">
        <v>5.0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2.0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3.0</v>
      </c>
      <c r="D14" s="19">
        <v>5.0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1.0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2.0</v>
      </c>
      <c r="D16" s="19">
        <v>2.0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1.0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3.0</v>
      </c>
      <c r="D19" s="19">
        <v>2.0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3.0</v>
      </c>
      <c r="D20" s="19">
        <v>4.0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3.0</v>
      </c>
      <c r="D21" s="19">
        <v>5.0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3.0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5.0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5.0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1.0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2.0</v>
      </c>
      <c r="D28" s="19">
        <v>5.0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3.0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4.0</v>
      </c>
      <c r="D30" s="19">
        <v>3.0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5.0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3.0</v>
      </c>
      <c r="D32" s="19">
        <v>4.0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3.0</v>
      </c>
      <c r="D33" s="19">
        <v>5.0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5.0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2.0</v>
      </c>
      <c r="D35" s="19">
        <v>5.0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5.0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4.0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3.0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4.0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1.0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4.0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1.0</v>
      </c>
      <c r="D43" s="19">
        <v>4.0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4.0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5.0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3.0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5.0</v>
      </c>
      <c r="D47" s="19">
        <v>3.0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3.0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1.0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3.0</v>
      </c>
      <c r="D50" s="19">
        <v>5.0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3.0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2.0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4.0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5.0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3.0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5.0</v>
      </c>
      <c r="E58" s="19"/>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4.0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3.0</v>
      </c>
      <c r="D60" s="19">
        <v>5.0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1.0</v>
      </c>
      <c r="D61" s="19">
        <v>3.0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5.0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2.0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4.0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3.0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1.0</v>
      </c>
      <c r="D66" s="19">
        <v>3.0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2.0</v>
      </c>
      <c r="D67" s="19">
        <v>1.0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1.0</v>
      </c>
      <c r="D68" s="19">
        <v>3.0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2.0</v>
      </c>
      <c r="D69" s="19">
        <v>1.0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2.0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3.0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2.0</v>
      </c>
      <c r="D72" s="19">
        <v>3.0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2.0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2.0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2.0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2.0</v>
      </c>
      <c r="D77" s="19">
        <v>3.0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2.0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2.0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2.0</v>
      </c>
      <c r="D80" s="19">
        <v>5.0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3.0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2.0</v>
      </c>
      <c r="D83" s="19">
        <v>5.0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3.0</v>
      </c>
      <c r="D84" s="19">
        <v>5.0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3.0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4.0</v>
      </c>
      <c r="D86" s="19">
        <v>5.0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1.0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3.0</v>
      </c>
      <c r="D88" s="19">
        <v>5.0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3.0</v>
      </c>
      <c r="D89" s="19">
        <v>5.0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1.0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1.0</v>
      </c>
      <c r="D91" s="19">
        <v>3.0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3.0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2.0</v>
      </c>
      <c r="D93" s="19">
        <v>1.0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4.0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3.0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2.0</v>
      </c>
      <c r="D96" s="19">
        <v>5.0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3.0</v>
      </c>
      <c r="D97" s="19">
        <v>5.0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4.0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2.0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2.0</v>
      </c>
      <c r="D100" s="19">
        <v>5.0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2.0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57 C58:E58 C59:D101">
      <formula1>Guidelines!$A$3:$A$7</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21">
        <v>2.0</v>
      </c>
      <c r="D2" s="21">
        <v>2.0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21">
        <v>3.0</v>
      </c>
      <c r="D3" s="21">
        <v>3.0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21">
        <v>3.0</v>
      </c>
      <c r="D4" s="21">
        <v>4.0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21">
        <v>4.0</v>
      </c>
      <c r="D5" s="21">
        <v>3.0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21">
        <v>4.0</v>
      </c>
      <c r="D6" s="21">
        <v>5.0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21">
        <v>4.0</v>
      </c>
      <c r="D7" s="21">
        <v>4.0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21">
        <v>2.0</v>
      </c>
      <c r="D8" s="21">
        <v>4.0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21">
        <v>3.0</v>
      </c>
      <c r="D9" s="21">
        <v>3.0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21">
        <v>3.0</v>
      </c>
      <c r="D10" s="21">
        <v>3.0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21">
        <v>1.0</v>
      </c>
      <c r="D11" s="21">
        <v>3.0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21">
        <v>4.0</v>
      </c>
      <c r="D12" s="21">
        <v>4.0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21">
        <v>1.0</v>
      </c>
      <c r="D13" s="21">
        <v>3.0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21">
        <v>2.0</v>
      </c>
      <c r="D14" s="21">
        <v>3.0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21">
        <v>2.0</v>
      </c>
      <c r="D15" s="21">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21">
        <v>2.0</v>
      </c>
      <c r="D16" s="21">
        <v>3.0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21">
        <v>5.0</v>
      </c>
      <c r="D17" s="21">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2.0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2.0</v>
      </c>
      <c r="D19" s="19">
        <v>2.0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3.0</v>
      </c>
      <c r="D20" s="19">
        <v>3.0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2.0</v>
      </c>
      <c r="D21" s="19">
        <v>2.0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3.0</v>
      </c>
      <c r="D22" s="19">
        <v>2.0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4.0</v>
      </c>
      <c r="D23" s="19">
        <v>4.0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4.0</v>
      </c>
      <c r="D24" s="19">
        <v>4.0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2.0</v>
      </c>
      <c r="D25" s="19">
        <v>2.0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2.0</v>
      </c>
      <c r="D26" s="19">
        <v>2.0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1.0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2.0</v>
      </c>
      <c r="D28" s="19">
        <v>2.0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3.0</v>
      </c>
      <c r="D29" s="19">
        <v>3.0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2.0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1.0</v>
      </c>
      <c r="D31" s="19">
        <v>2.0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1.0</v>
      </c>
      <c r="D32" s="19">
        <v>1.0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2.0</v>
      </c>
      <c r="D33" s="19">
        <v>3.0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3.0</v>
      </c>
      <c r="D34" s="19">
        <v>2.0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2.0</v>
      </c>
      <c r="D35" s="19">
        <v>4.0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3.0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2.0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1.0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4.0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2.0</v>
      </c>
      <c r="D40" s="19">
        <v>2.0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4.0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2.0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3.0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2.0</v>
      </c>
      <c r="D44" s="19">
        <v>2.0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3.0</v>
      </c>
      <c r="D45" s="19">
        <v>3.0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3.0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1.0</v>
      </c>
      <c r="D47" s="19">
        <v>1.0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2.0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2.0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3.0</v>
      </c>
      <c r="D50" s="19">
        <v>2.0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3.0</v>
      </c>
      <c r="D51" s="19">
        <v>3.0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2.0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2.0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3.0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3.0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2.0</v>
      </c>
      <c r="D57" s="19">
        <v>3.0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3.0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3.0</v>
      </c>
      <c r="D60" s="19">
        <v>3.0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2.0</v>
      </c>
      <c r="D61" s="19">
        <v>3.0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2.0</v>
      </c>
      <c r="D62" s="19">
        <v>2.0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3.0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3.0</v>
      </c>
      <c r="D64" s="19">
        <v>4.0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2.0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3.0</v>
      </c>
      <c r="D66" s="19">
        <v>2.0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2.0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3.0</v>
      </c>
      <c r="D68" s="19">
        <v>3.0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3.0</v>
      </c>
      <c r="D69" s="19">
        <v>1.0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2.0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2.0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2.0</v>
      </c>
      <c r="D72" s="19">
        <v>1.0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1.0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2.0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2.0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2.0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2.0</v>
      </c>
      <c r="D79" s="19">
        <v>2.0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2.0</v>
      </c>
      <c r="D80" s="19">
        <v>4.0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3.0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3.0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3.0</v>
      </c>
      <c r="D84" s="19">
        <v>2.0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2.0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1.0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3.0</v>
      </c>
      <c r="D87" s="19">
        <v>3.0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3.0</v>
      </c>
      <c r="D88" s="19">
        <v>2.0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3.0</v>
      </c>
      <c r="D89" s="19">
        <v>4.0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3.0</v>
      </c>
      <c r="D90" s="19">
        <v>2.0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2.0</v>
      </c>
      <c r="D91" s="19">
        <v>1.0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1.0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2.0</v>
      </c>
      <c r="D93" s="19">
        <v>2.0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2.0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2.0</v>
      </c>
      <c r="D95" s="19">
        <v>3.0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2.0</v>
      </c>
      <c r="D96" s="19">
        <v>2.0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3.0</v>
      </c>
      <c r="D97" s="19">
        <v>4.0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2.0</v>
      </c>
      <c r="D98" s="19">
        <v>2.0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2.0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2.0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2.0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4.0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2.0</v>
      </c>
      <c r="D3" s="19">
        <v>2.0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4.0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5.0</v>
      </c>
      <c r="D5" s="19">
        <v>3.0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1.0</v>
      </c>
      <c r="D6" s="19">
        <v>5.0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1.0</v>
      </c>
      <c r="D7" s="19">
        <v>5.0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1.0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4.0</v>
      </c>
      <c r="D9" s="19">
        <v>4.0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4.0</v>
      </c>
      <c r="D10" s="19">
        <v>3.0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5.0</v>
      </c>
      <c r="D11" s="19">
        <v>4.0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1.0</v>
      </c>
      <c r="D12" s="19">
        <v>3.0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3.0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2.0</v>
      </c>
      <c r="D14" s="19">
        <v>4.0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4.0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1.0</v>
      </c>
      <c r="D16" s="19">
        <v>2.0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4.0</v>
      </c>
      <c r="D17" s="19">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1.0</v>
      </c>
      <c r="D18" s="19">
        <v>4.0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2.0</v>
      </c>
      <c r="D19" s="19">
        <v>5.0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5.0</v>
      </c>
      <c r="D20" s="19">
        <v>5.0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1.0</v>
      </c>
      <c r="D21" s="19">
        <v>3.0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1.0</v>
      </c>
      <c r="D24" s="19">
        <v>3.0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5.0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3.0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3.0</v>
      </c>
      <c r="D27" s="19">
        <v>2.0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1.0</v>
      </c>
      <c r="D28" s="19">
        <v>1.0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5.0</v>
      </c>
      <c r="D29" s="19">
        <v>2.0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4.0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1.0</v>
      </c>
      <c r="D31" s="19">
        <v>5.0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2.0</v>
      </c>
      <c r="D32" s="19">
        <v>1.0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4.0</v>
      </c>
      <c r="D33" s="19">
        <v>5.0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1.0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1.0</v>
      </c>
      <c r="D35" s="19">
        <v>5.0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5.0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5.0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5.0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2.0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3.0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4.0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4.0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3.0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3.0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1.0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2.0</v>
      </c>
      <c r="D47" s="19">
        <v>3.0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2.0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1.0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4.0</v>
      </c>
      <c r="D50" s="19">
        <v>5.0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2.0</v>
      </c>
      <c r="D51" s="19">
        <v>2.0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4.0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5.0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4.0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5.0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1.0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5.0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4.0</v>
      </c>
      <c r="D60" s="19">
        <v>4.0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1.0</v>
      </c>
      <c r="D61" s="19">
        <v>1.0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3.0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3.0</v>
      </c>
      <c r="D63" s="19">
        <v>3.0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5.0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1.0</v>
      </c>
      <c r="D65" s="19">
        <v>3.0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2.0</v>
      </c>
      <c r="D66" s="19">
        <v>3.0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4.0</v>
      </c>
      <c r="D67" s="19">
        <v>3.0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1.0</v>
      </c>
      <c r="D68" s="19">
        <v>5.0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1.0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1.0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3.0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4.0</v>
      </c>
      <c r="D72" s="19">
        <v>1.0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5.0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2.0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3.0</v>
      </c>
      <c r="D76" s="19">
        <v>5.0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4.0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2.0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5.0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2.0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3.0</v>
      </c>
      <c r="D82" s="19">
        <v>2.0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1.0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2.0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4.0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3.0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4.0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2.0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1.0</v>
      </c>
      <c r="D89" s="19">
        <v>3.0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2.0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1.0</v>
      </c>
      <c r="D91" s="19">
        <v>1.0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1.0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4.0</v>
      </c>
      <c r="D93" s="19">
        <v>3.0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1.0</v>
      </c>
      <c r="D94" s="19">
        <v>5.0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3.0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4.0</v>
      </c>
      <c r="D96" s="19">
        <v>3.0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1.0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3.0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3.0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4.0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22"/>
    <col customWidth="1" min="2" max="2" width="12.33"/>
    <col customWidth="1" min="3" max="3" width="14.0"/>
    <col customWidth="1" min="4" max="4" width="21.33"/>
    <col customWidth="1" min="5" max="5" width="13.11"/>
    <col customWidth="1" min="6" max="11" width="6.89"/>
    <col customWidth="1" min="12" max="12" width="13.78"/>
    <col customWidth="1" min="13" max="25" width="6.89"/>
  </cols>
  <sheetData>
    <row r="1" ht="15.75" customHeight="1">
      <c r="A1" s="22" t="s">
        <v>18</v>
      </c>
      <c r="B1" s="22" t="s">
        <v>19</v>
      </c>
      <c r="C1" s="22" t="s">
        <v>176</v>
      </c>
      <c r="D1" s="22" t="s">
        <v>177</v>
      </c>
      <c r="E1" s="22" t="s">
        <v>178</v>
      </c>
      <c r="F1" s="19" t="s">
        <v>179</v>
      </c>
      <c r="G1" s="19" t="s">
        <v>180</v>
      </c>
      <c r="H1" s="19" t="s">
        <v>181</v>
      </c>
      <c r="I1" s="19" t="s">
        <v>182</v>
      </c>
      <c r="J1" s="19" t="s">
        <v>183</v>
      </c>
      <c r="K1" s="19" t="s">
        <v>184</v>
      </c>
      <c r="L1" s="22" t="s">
        <v>185</v>
      </c>
      <c r="M1" s="19" t="s">
        <v>186</v>
      </c>
      <c r="N1" s="19" t="s">
        <v>187</v>
      </c>
      <c r="O1" s="19" t="s">
        <v>188</v>
      </c>
      <c r="P1" s="19" t="s">
        <v>189</v>
      </c>
      <c r="Q1" s="19" t="s">
        <v>190</v>
      </c>
      <c r="R1" s="19" t="s">
        <v>191</v>
      </c>
      <c r="S1" s="16"/>
      <c r="T1" s="16"/>
      <c r="U1" s="16"/>
      <c r="V1" s="16"/>
      <c r="W1" s="16"/>
      <c r="X1" s="16"/>
      <c r="Y1" s="16"/>
    </row>
    <row r="2" ht="15.75" customHeight="1">
      <c r="A2" s="16" t="s">
        <v>192</v>
      </c>
      <c r="B2" s="16" t="s">
        <v>23</v>
      </c>
      <c r="C2" s="16" t="s">
        <v>193</v>
      </c>
      <c r="D2" s="16" t="s">
        <v>194</v>
      </c>
      <c r="E2" s="23">
        <f t="shared" ref="E2:E101" si="1">AVERAGE(F2:K2)</f>
        <v>2.333333333</v>
      </c>
      <c r="F2" s="16">
        <f>VLOOKUP(A2,Oonasfriend2!A:C,3,FALSE)</f>
        <v>1</v>
      </c>
      <c r="G2" s="16">
        <f>VLOOKUP(A2,Oonasfriend1!A:C,3,FALSE)</f>
        <v>2</v>
      </c>
      <c r="H2" s="16">
        <f>VLOOKUP(A2,Oona!A:C,3,FALSE)</f>
        <v>2</v>
      </c>
      <c r="I2" s="16">
        <f>VLOOKUP(A2,Ona!A:C,3,FALSE)</f>
        <v>3</v>
      </c>
      <c r="J2" s="16">
        <f>VLOOKUP(A2,Yuxin!A:C,3,FALSE)</f>
        <v>2</v>
      </c>
      <c r="K2" s="16">
        <f>VLOOKUP(A2,Linyao!A:C,3,FALSE)</f>
        <v>4</v>
      </c>
      <c r="L2" s="23">
        <f t="shared" ref="L2:L101" si="2">AVERAGE(M2:R2)</f>
        <v>2.833333333</v>
      </c>
      <c r="M2" s="16">
        <f>VLOOKUP(A2,Oonasfriend2!A:D,4,FALSE)</f>
        <v>3</v>
      </c>
      <c r="N2" s="16">
        <f>VLOOKUP(A2,Oonasfriend1!A:D,4,FALSE)</f>
        <v>3</v>
      </c>
      <c r="O2" s="16">
        <f>VLOOKUP(A2,Oona!A:D,4,FALSE)</f>
        <v>3</v>
      </c>
      <c r="P2" s="16">
        <f>VLOOKUP(A2,Ona!A:D,4,FALSE)</f>
        <v>3</v>
      </c>
      <c r="Q2" s="16">
        <f>VLOOKUP(A2,Yuxin!A:D,4,FALSE)</f>
        <v>2</v>
      </c>
      <c r="R2" s="16">
        <f>VLOOKUP(A2,Linyao!A:D,4,FALSE)</f>
        <v>3</v>
      </c>
      <c r="S2" s="16"/>
      <c r="T2" s="16"/>
      <c r="U2" s="16"/>
      <c r="V2" s="16"/>
      <c r="W2" s="16"/>
      <c r="X2" s="16"/>
      <c r="Y2" s="16"/>
    </row>
    <row r="3" ht="15.75" customHeight="1">
      <c r="A3" s="16" t="s">
        <v>24</v>
      </c>
      <c r="B3" s="16" t="s">
        <v>25</v>
      </c>
      <c r="C3" s="16" t="s">
        <v>193</v>
      </c>
      <c r="D3" s="16" t="s">
        <v>195</v>
      </c>
      <c r="E3" s="23">
        <f t="shared" si="1"/>
        <v>2.166666667</v>
      </c>
      <c r="F3" s="16">
        <f>VLOOKUP(A3,Oonasfriend2!A:C,3,FALSE)</f>
        <v>1</v>
      </c>
      <c r="G3" s="16">
        <f>VLOOKUP(A3,Oonasfriend1!A:C,3,FALSE)</f>
        <v>4</v>
      </c>
      <c r="H3" s="16">
        <f>VLOOKUP(A3,Oona!A:C,3,FALSE)</f>
        <v>2</v>
      </c>
      <c r="I3" s="16">
        <f>VLOOKUP(A3,Ona!A:C,3,FALSE)</f>
        <v>1</v>
      </c>
      <c r="J3" s="16">
        <f>VLOOKUP(A3,Yuxin!A:C,3,FALSE)</f>
        <v>3</v>
      </c>
      <c r="K3" s="16">
        <f>VLOOKUP(A3,Linyao!A:C,3,FALSE)</f>
        <v>2</v>
      </c>
      <c r="L3" s="23">
        <f t="shared" si="2"/>
        <v>1.666666667</v>
      </c>
      <c r="M3" s="16">
        <f>VLOOKUP(A3,Oonasfriend2!A:D,4,FALSE)</f>
        <v>1</v>
      </c>
      <c r="N3" s="16">
        <f>VLOOKUP(A3,Oonasfriend1!A:D,4,FALSE)</f>
        <v>1</v>
      </c>
      <c r="O3" s="16">
        <f>VLOOKUP(A3,Oona!A:D,4,FALSE)</f>
        <v>2</v>
      </c>
      <c r="P3" s="16">
        <f>VLOOKUP(A3,Ona!A:D,4,FALSE)</f>
        <v>1</v>
      </c>
      <c r="Q3" s="16">
        <f>VLOOKUP(A3,Yuxin!A:D,4,FALSE)</f>
        <v>3</v>
      </c>
      <c r="R3" s="16">
        <f>VLOOKUP(A3,Linyao!A:D,4,FALSE)</f>
        <v>2</v>
      </c>
      <c r="S3" s="16"/>
      <c r="T3" s="16"/>
      <c r="U3" s="16"/>
      <c r="V3" s="16"/>
      <c r="W3" s="16"/>
      <c r="X3" s="16"/>
      <c r="Y3" s="16"/>
    </row>
    <row r="4" ht="15.75" customHeight="1">
      <c r="A4" s="16" t="s">
        <v>196</v>
      </c>
      <c r="B4" s="16" t="s">
        <v>27</v>
      </c>
      <c r="C4" s="16" t="s">
        <v>197</v>
      </c>
      <c r="D4" s="16" t="s">
        <v>198</v>
      </c>
      <c r="E4" s="23">
        <f t="shared" si="1"/>
        <v>1.666666667</v>
      </c>
      <c r="F4" s="16">
        <f>VLOOKUP(A4,Oonasfriend2!A:C,3,FALSE)</f>
        <v>1</v>
      </c>
      <c r="G4" s="16">
        <f>VLOOKUP(A4,Oonasfriend1!A:C,3,FALSE)</f>
        <v>3</v>
      </c>
      <c r="H4" s="16">
        <f>VLOOKUP(A4,Oona!A:C,3,FALSE)</f>
        <v>1</v>
      </c>
      <c r="I4" s="16">
        <f>VLOOKUP(A4,Ona!A:C,3,FALSE)</f>
        <v>1</v>
      </c>
      <c r="J4" s="16">
        <f>VLOOKUP(A4,Yuxin!A:C,3,FALSE)</f>
        <v>3</v>
      </c>
      <c r="K4" s="16">
        <f>VLOOKUP(A4,Linyao!A:C,3,FALSE)</f>
        <v>1</v>
      </c>
      <c r="L4" s="23">
        <f t="shared" si="2"/>
        <v>2.333333333</v>
      </c>
      <c r="M4" s="16">
        <f>VLOOKUP(A4,Oonasfriend2!A:D,4,FALSE)</f>
        <v>1</v>
      </c>
      <c r="N4" s="16">
        <f>VLOOKUP(A4,Oonasfriend1!A:D,4,FALSE)</f>
        <v>1</v>
      </c>
      <c r="O4" s="16">
        <f>VLOOKUP(A4,Oona!A:D,4,FALSE)</f>
        <v>1</v>
      </c>
      <c r="P4" s="16">
        <f>VLOOKUP(A4,Ona!A:D,4,FALSE)</f>
        <v>3</v>
      </c>
      <c r="Q4" s="16">
        <f>VLOOKUP(A4,Yuxin!A:D,4,FALSE)</f>
        <v>4</v>
      </c>
      <c r="R4" s="16">
        <f>VLOOKUP(A4,Linyao!A:D,4,FALSE)</f>
        <v>4</v>
      </c>
      <c r="S4" s="16"/>
      <c r="T4" s="16"/>
      <c r="U4" s="16"/>
      <c r="V4" s="16"/>
      <c r="W4" s="16"/>
      <c r="X4" s="16"/>
      <c r="Y4" s="16"/>
    </row>
    <row r="5" ht="15.75" customHeight="1">
      <c r="A5" s="16" t="s">
        <v>28</v>
      </c>
      <c r="B5" s="16" t="s">
        <v>29</v>
      </c>
      <c r="C5" s="16" t="s">
        <v>193</v>
      </c>
      <c r="D5" s="16" t="s">
        <v>199</v>
      </c>
      <c r="E5" s="23">
        <f t="shared" si="1"/>
        <v>3.166666667</v>
      </c>
      <c r="F5" s="16">
        <f>VLOOKUP(A5,Oonasfriend2!A:C,3,FALSE)</f>
        <v>2</v>
      </c>
      <c r="G5" s="16">
        <f>VLOOKUP(A5,Oonasfriend1!A:C,3,FALSE)</f>
        <v>3</v>
      </c>
      <c r="H5" s="16">
        <f>VLOOKUP(A5,Oona!A:C,3,FALSE)</f>
        <v>2</v>
      </c>
      <c r="I5" s="16">
        <f>VLOOKUP(A5,Ona!A:C,3,FALSE)</f>
        <v>3</v>
      </c>
      <c r="J5" s="16">
        <f>VLOOKUP(A5,Yuxin!A:C,3,FALSE)</f>
        <v>4</v>
      </c>
      <c r="K5" s="16">
        <f>VLOOKUP(A5,Linyao!A:C,3,FALSE)</f>
        <v>5</v>
      </c>
      <c r="L5" s="23">
        <f t="shared" si="2"/>
        <v>2.333333333</v>
      </c>
      <c r="M5" s="16">
        <f>VLOOKUP(A5,Oonasfriend2!A:D,4,FALSE)</f>
        <v>1</v>
      </c>
      <c r="N5" s="16">
        <f>VLOOKUP(A5,Oonasfriend1!A:D,4,FALSE)</f>
        <v>3</v>
      </c>
      <c r="O5" s="16">
        <f>VLOOKUP(A5,Oona!A:D,4,FALSE)</f>
        <v>2</v>
      </c>
      <c r="P5" s="16">
        <f>VLOOKUP(A5,Ona!A:D,4,FALSE)</f>
        <v>2</v>
      </c>
      <c r="Q5" s="16">
        <f>VLOOKUP(A5,Yuxin!A:D,4,FALSE)</f>
        <v>3</v>
      </c>
      <c r="R5" s="16">
        <f>VLOOKUP(A5,Linyao!A:D,4,FALSE)</f>
        <v>3</v>
      </c>
      <c r="S5" s="16"/>
      <c r="T5" s="16"/>
      <c r="U5" s="16"/>
      <c r="V5" s="16"/>
      <c r="W5" s="16"/>
      <c r="X5" s="16"/>
      <c r="Y5" s="16"/>
    </row>
    <row r="6" ht="15.75" customHeight="1">
      <c r="A6" s="16" t="s">
        <v>28</v>
      </c>
      <c r="B6" s="16" t="s">
        <v>30</v>
      </c>
      <c r="C6" s="16" t="s">
        <v>197</v>
      </c>
      <c r="D6" s="16" t="s">
        <v>200</v>
      </c>
      <c r="E6" s="23">
        <f t="shared" si="1"/>
        <v>3.166666667</v>
      </c>
      <c r="F6" s="16">
        <f>VLOOKUP(A6,Oonasfriend2!A:C,3,FALSE)</f>
        <v>2</v>
      </c>
      <c r="G6" s="16">
        <f>VLOOKUP(A6,Oonasfriend1!A:C,3,FALSE)</f>
        <v>3</v>
      </c>
      <c r="H6" s="16">
        <f>VLOOKUP(A6,Oona!A:C,3,FALSE)</f>
        <v>2</v>
      </c>
      <c r="I6" s="16">
        <f>VLOOKUP(A6,Ona!A:C,3,FALSE)</f>
        <v>3</v>
      </c>
      <c r="J6" s="16">
        <f>VLOOKUP(A6,Yuxin!A:C,3,FALSE)</f>
        <v>4</v>
      </c>
      <c r="K6" s="16">
        <f>VLOOKUP(A6,Linyao!A:C,3,FALSE)</f>
        <v>5</v>
      </c>
      <c r="L6" s="23">
        <f t="shared" si="2"/>
        <v>2.333333333</v>
      </c>
      <c r="M6" s="16">
        <f>VLOOKUP(A6,Oonasfriend2!A:D,4,FALSE)</f>
        <v>1</v>
      </c>
      <c r="N6" s="16">
        <f>VLOOKUP(A6,Oonasfriend1!A:D,4,FALSE)</f>
        <v>3</v>
      </c>
      <c r="O6" s="16">
        <f>VLOOKUP(A6,Oona!A:D,4,FALSE)</f>
        <v>2</v>
      </c>
      <c r="P6" s="16">
        <f>VLOOKUP(A6,Ona!A:D,4,FALSE)</f>
        <v>2</v>
      </c>
      <c r="Q6" s="16">
        <f>VLOOKUP(A6,Yuxin!A:D,4,FALSE)</f>
        <v>3</v>
      </c>
      <c r="R6" s="16">
        <f>VLOOKUP(A6,Linyao!A:D,4,FALSE)</f>
        <v>3</v>
      </c>
      <c r="S6" s="16"/>
      <c r="T6" s="16"/>
      <c r="U6" s="16"/>
      <c r="V6" s="16"/>
      <c r="W6" s="16"/>
      <c r="X6" s="16"/>
      <c r="Y6" s="16"/>
    </row>
    <row r="7" ht="15.75" customHeight="1">
      <c r="A7" s="16" t="s">
        <v>31</v>
      </c>
      <c r="B7" s="16" t="s">
        <v>32</v>
      </c>
      <c r="C7" s="16" t="s">
        <v>193</v>
      </c>
      <c r="D7" s="16" t="s">
        <v>201</v>
      </c>
      <c r="E7" s="23">
        <f t="shared" si="1"/>
        <v>2.833333333</v>
      </c>
      <c r="F7" s="16">
        <f>VLOOKUP(A7,Oonasfriend2!A:C,3,FALSE)</f>
        <v>2</v>
      </c>
      <c r="G7" s="16">
        <f>VLOOKUP(A7,Oonasfriend1!A:C,3,FALSE)</f>
        <v>4</v>
      </c>
      <c r="H7" s="16">
        <f>VLOOKUP(A7,Oona!A:C,3,FALSE)</f>
        <v>2</v>
      </c>
      <c r="I7" s="16">
        <f>VLOOKUP(A7,Ona!A:C,3,FALSE)</f>
        <v>4</v>
      </c>
      <c r="J7" s="16">
        <f>VLOOKUP(A7,Yuxin!A:C,3,FALSE)</f>
        <v>4</v>
      </c>
      <c r="K7" s="16">
        <f>VLOOKUP(A7,Linyao!A:C,3,FALSE)</f>
        <v>1</v>
      </c>
      <c r="L7" s="23">
        <f t="shared" si="2"/>
        <v>4</v>
      </c>
      <c r="M7" s="16">
        <f>VLOOKUP(A7,Oonasfriend2!A:D,4,FALSE)</f>
        <v>5</v>
      </c>
      <c r="N7" s="16">
        <f>VLOOKUP(A7,Oonasfriend1!A:D,4,FALSE)</f>
        <v>2</v>
      </c>
      <c r="O7" s="16">
        <f>VLOOKUP(A7,Oona!A:D,4,FALSE)</f>
        <v>3</v>
      </c>
      <c r="P7" s="16">
        <f>VLOOKUP(A7,Ona!A:D,4,FALSE)</f>
        <v>5</v>
      </c>
      <c r="Q7" s="16">
        <f>VLOOKUP(A7,Yuxin!A:D,4,FALSE)</f>
        <v>4</v>
      </c>
      <c r="R7" s="16">
        <f>VLOOKUP(A7,Linyao!A:D,4,FALSE)</f>
        <v>5</v>
      </c>
      <c r="S7" s="16"/>
      <c r="T7" s="16"/>
      <c r="U7" s="16"/>
      <c r="V7" s="16"/>
      <c r="W7" s="16"/>
      <c r="X7" s="16"/>
      <c r="Y7" s="16"/>
    </row>
    <row r="8" ht="15.75" customHeight="1">
      <c r="A8" s="16" t="s">
        <v>202</v>
      </c>
      <c r="B8" s="16" t="s">
        <v>34</v>
      </c>
      <c r="C8" s="16" t="s">
        <v>197</v>
      </c>
      <c r="D8" s="16" t="s">
        <v>203</v>
      </c>
      <c r="E8" s="23">
        <f t="shared" si="1"/>
        <v>2.166666667</v>
      </c>
      <c r="F8" s="16">
        <f>VLOOKUP(A8,Oonasfriend2!A:C,3,FALSE)</f>
        <v>1</v>
      </c>
      <c r="G8" s="16">
        <f>VLOOKUP(A8,Oonasfriend1!A:C,3,FALSE)</f>
        <v>4</v>
      </c>
      <c r="H8" s="16">
        <f>VLOOKUP(A8,Oona!A:C,3,FALSE)</f>
        <v>3</v>
      </c>
      <c r="I8" s="16">
        <f>VLOOKUP(A8,Ona!A:C,3,FALSE)</f>
        <v>2</v>
      </c>
      <c r="J8" s="16">
        <f>VLOOKUP(A8,Yuxin!A:C,3,FALSE)</f>
        <v>2</v>
      </c>
      <c r="K8" s="16">
        <f>VLOOKUP(A8,Linyao!A:C,3,FALSE)</f>
        <v>1</v>
      </c>
      <c r="L8" s="23">
        <f t="shared" si="2"/>
        <v>4.166666667</v>
      </c>
      <c r="M8" s="16">
        <f>VLOOKUP(A8,Oonasfriend2!A:D,4,FALSE)</f>
        <v>1</v>
      </c>
      <c r="N8" s="16">
        <f>VLOOKUP(A8,Oonasfriend1!A:D,4,FALSE)</f>
        <v>5</v>
      </c>
      <c r="O8" s="16">
        <f>VLOOKUP(A8,Oona!A:D,4,FALSE)</f>
        <v>5</v>
      </c>
      <c r="P8" s="16">
        <f>VLOOKUP(A8,Ona!A:D,4,FALSE)</f>
        <v>5</v>
      </c>
      <c r="Q8" s="16">
        <f>VLOOKUP(A8,Yuxin!A:D,4,FALSE)</f>
        <v>4</v>
      </c>
      <c r="R8" s="16">
        <f>VLOOKUP(A8,Linyao!A:D,4,FALSE)</f>
        <v>5</v>
      </c>
      <c r="S8" s="16"/>
      <c r="T8" s="16"/>
      <c r="U8" s="16"/>
      <c r="V8" s="16"/>
      <c r="W8" s="16"/>
      <c r="X8" s="16"/>
      <c r="Y8" s="16"/>
    </row>
    <row r="9" ht="15.75" customHeight="1">
      <c r="A9" s="16" t="s">
        <v>35</v>
      </c>
      <c r="B9" s="16" t="s">
        <v>36</v>
      </c>
      <c r="C9" s="16" t="s">
        <v>197</v>
      </c>
      <c r="D9" s="16" t="s">
        <v>204</v>
      </c>
      <c r="E9" s="23">
        <f t="shared" si="1"/>
        <v>2.666666667</v>
      </c>
      <c r="F9" s="16">
        <f>VLOOKUP(A9,Oonasfriend2!A:C,3,FALSE)</f>
        <v>1</v>
      </c>
      <c r="G9" s="16">
        <f>VLOOKUP(A9,Oonasfriend1!A:C,3,FALSE)</f>
        <v>2</v>
      </c>
      <c r="H9" s="16">
        <f>VLOOKUP(A9,Oona!A:C,3,FALSE)</f>
        <v>1</v>
      </c>
      <c r="I9" s="16">
        <f>VLOOKUP(A9,Ona!A:C,3,FALSE)</f>
        <v>5</v>
      </c>
      <c r="J9" s="16">
        <f>VLOOKUP(A9,Yuxin!A:C,3,FALSE)</f>
        <v>3</v>
      </c>
      <c r="K9" s="16">
        <f>VLOOKUP(A9,Linyao!A:C,3,FALSE)</f>
        <v>4</v>
      </c>
      <c r="L9" s="23">
        <f t="shared" si="2"/>
        <v>2.5</v>
      </c>
      <c r="M9" s="16">
        <f>VLOOKUP(A9,Oonasfriend2!A:D,4,FALSE)</f>
        <v>1</v>
      </c>
      <c r="N9" s="16">
        <f>VLOOKUP(A9,Oonasfriend1!A:D,4,FALSE)</f>
        <v>1</v>
      </c>
      <c r="O9" s="16">
        <f>VLOOKUP(A9,Oona!A:D,4,FALSE)</f>
        <v>1</v>
      </c>
      <c r="P9" s="16">
        <f>VLOOKUP(A9,Ona!A:D,4,FALSE)</f>
        <v>5</v>
      </c>
      <c r="Q9" s="16">
        <f>VLOOKUP(A9,Yuxin!A:D,4,FALSE)</f>
        <v>3</v>
      </c>
      <c r="R9" s="16">
        <f>VLOOKUP(A9,Linyao!A:D,4,FALSE)</f>
        <v>4</v>
      </c>
      <c r="S9" s="16"/>
      <c r="T9" s="16"/>
      <c r="U9" s="16"/>
      <c r="V9" s="16"/>
      <c r="W9" s="16"/>
      <c r="X9" s="16"/>
      <c r="Y9" s="16"/>
    </row>
    <row r="10" ht="15.75" customHeight="1">
      <c r="A10" s="16" t="s">
        <v>205</v>
      </c>
      <c r="B10" s="16" t="s">
        <v>38</v>
      </c>
      <c r="C10" s="16" t="s">
        <v>197</v>
      </c>
      <c r="D10" s="16" t="s">
        <v>206</v>
      </c>
      <c r="E10" s="23">
        <f t="shared" si="1"/>
        <v>2.333333333</v>
      </c>
      <c r="F10" s="16">
        <f>VLOOKUP(A10,Oonasfriend2!A:C,3,FALSE)</f>
        <v>1</v>
      </c>
      <c r="G10" s="16">
        <f>VLOOKUP(A10,Oonasfriend1!A:C,3,FALSE)</f>
        <v>2</v>
      </c>
      <c r="H10" s="16">
        <f>VLOOKUP(A10,Oona!A:C,3,FALSE)</f>
        <v>2</v>
      </c>
      <c r="I10" s="16">
        <f>VLOOKUP(A10,Ona!A:C,3,FALSE)</f>
        <v>2</v>
      </c>
      <c r="J10" s="16">
        <f>VLOOKUP(A10,Yuxin!A:C,3,FALSE)</f>
        <v>3</v>
      </c>
      <c r="K10" s="16">
        <f>VLOOKUP(A10,Linyao!A:C,3,FALSE)</f>
        <v>4</v>
      </c>
      <c r="L10" s="23">
        <f t="shared" si="2"/>
        <v>1.666666667</v>
      </c>
      <c r="M10" s="16">
        <f>VLOOKUP(A10,Oonasfriend2!A:D,4,FALSE)</f>
        <v>1</v>
      </c>
      <c r="N10" s="16">
        <f>VLOOKUP(A10,Oonasfriend1!A:D,4,FALSE)</f>
        <v>1</v>
      </c>
      <c r="O10" s="16">
        <f>VLOOKUP(A10,Oona!A:D,4,FALSE)</f>
        <v>1</v>
      </c>
      <c r="P10" s="16">
        <f>VLOOKUP(A10,Ona!A:D,4,FALSE)</f>
        <v>1</v>
      </c>
      <c r="Q10" s="16">
        <f>VLOOKUP(A10,Yuxin!A:D,4,FALSE)</f>
        <v>3</v>
      </c>
      <c r="R10" s="16">
        <f>VLOOKUP(A10,Linyao!A:D,4,FALSE)</f>
        <v>3</v>
      </c>
      <c r="S10" s="16"/>
      <c r="T10" s="16"/>
      <c r="U10" s="16"/>
      <c r="V10" s="16"/>
      <c r="W10" s="16"/>
      <c r="X10" s="16"/>
      <c r="Y10" s="16"/>
    </row>
    <row r="11" ht="15.75" customHeight="1">
      <c r="A11" s="16" t="s">
        <v>39</v>
      </c>
      <c r="B11" s="16" t="s">
        <v>40</v>
      </c>
      <c r="C11" s="16" t="s">
        <v>197</v>
      </c>
      <c r="D11" s="16" t="s">
        <v>207</v>
      </c>
      <c r="E11" s="23">
        <f t="shared" si="1"/>
        <v>1.833333333</v>
      </c>
      <c r="F11" s="16">
        <f>VLOOKUP(A11,Oonasfriend2!A:C,3,FALSE)</f>
        <v>1</v>
      </c>
      <c r="G11" s="16">
        <f>VLOOKUP(A11,Oonasfriend1!A:C,3,FALSE)</f>
        <v>2</v>
      </c>
      <c r="H11" s="16">
        <f>VLOOKUP(A11,Oona!A:C,3,FALSE)</f>
        <v>1</v>
      </c>
      <c r="I11" s="16">
        <f>VLOOKUP(A11,Ona!A:C,3,FALSE)</f>
        <v>1</v>
      </c>
      <c r="J11" s="16">
        <f>VLOOKUP(A11,Yuxin!A:C,3,FALSE)</f>
        <v>1</v>
      </c>
      <c r="K11" s="16">
        <f>VLOOKUP(A11,Linyao!A:C,3,FALSE)</f>
        <v>5</v>
      </c>
      <c r="L11" s="23">
        <f t="shared" si="2"/>
        <v>3.333333333</v>
      </c>
      <c r="M11" s="16">
        <f>VLOOKUP(A11,Oonasfriend2!A:D,4,FALSE)</f>
        <v>3</v>
      </c>
      <c r="N11" s="16">
        <f>VLOOKUP(A11,Oonasfriend1!A:D,4,FALSE)</f>
        <v>4</v>
      </c>
      <c r="O11" s="16">
        <f>VLOOKUP(A11,Oona!A:D,4,FALSE)</f>
        <v>3</v>
      </c>
      <c r="P11" s="16">
        <f>VLOOKUP(A11,Ona!A:D,4,FALSE)</f>
        <v>3</v>
      </c>
      <c r="Q11" s="16">
        <f>VLOOKUP(A11,Yuxin!A:D,4,FALSE)</f>
        <v>3</v>
      </c>
      <c r="R11" s="16">
        <f>VLOOKUP(A11,Linyao!A:D,4,FALSE)</f>
        <v>4</v>
      </c>
      <c r="S11" s="16"/>
      <c r="T11" s="16"/>
      <c r="U11" s="16"/>
      <c r="V11" s="16"/>
      <c r="W11" s="16"/>
      <c r="X11" s="16"/>
      <c r="Y11" s="16"/>
    </row>
    <row r="12" ht="15.75" customHeight="1">
      <c r="A12" s="16" t="s">
        <v>41</v>
      </c>
      <c r="B12" s="16" t="s">
        <v>42</v>
      </c>
      <c r="C12" s="16" t="s">
        <v>197</v>
      </c>
      <c r="D12" s="16" t="s">
        <v>208</v>
      </c>
      <c r="E12" s="23">
        <f t="shared" si="1"/>
        <v>2.333333333</v>
      </c>
      <c r="F12" s="16">
        <f>VLOOKUP(A12,Oonasfriend2!A:C,3,FALSE)</f>
        <v>1</v>
      </c>
      <c r="G12" s="16">
        <f>VLOOKUP(A12,Oonasfriend1!A:C,3,FALSE)</f>
        <v>4</v>
      </c>
      <c r="H12" s="16">
        <f>VLOOKUP(A12,Oona!A:C,3,FALSE)</f>
        <v>1</v>
      </c>
      <c r="I12" s="16">
        <f>VLOOKUP(A12,Ona!A:C,3,FALSE)</f>
        <v>3</v>
      </c>
      <c r="J12" s="16">
        <f>VLOOKUP(A12,Yuxin!A:C,3,FALSE)</f>
        <v>4</v>
      </c>
      <c r="K12" s="16">
        <f>VLOOKUP(A12,Linyao!A:C,3,FALSE)</f>
        <v>1</v>
      </c>
      <c r="L12" s="23">
        <f t="shared" si="2"/>
        <v>3.166666667</v>
      </c>
      <c r="M12" s="16">
        <f>VLOOKUP(A12,Oonasfriend2!A:D,4,FALSE)</f>
        <v>3</v>
      </c>
      <c r="N12" s="16">
        <f>VLOOKUP(A12,Oonasfriend1!A:D,4,FALSE)</f>
        <v>3</v>
      </c>
      <c r="O12" s="16">
        <f>VLOOKUP(A12,Oona!A:D,4,FALSE)</f>
        <v>1</v>
      </c>
      <c r="P12" s="16">
        <f>VLOOKUP(A12,Ona!A:D,4,FALSE)</f>
        <v>5</v>
      </c>
      <c r="Q12" s="16">
        <f>VLOOKUP(A12,Yuxin!A:D,4,FALSE)</f>
        <v>4</v>
      </c>
      <c r="R12" s="16">
        <f>VLOOKUP(A12,Linyao!A:D,4,FALSE)</f>
        <v>3</v>
      </c>
      <c r="S12" s="16"/>
      <c r="T12" s="16"/>
      <c r="U12" s="16"/>
      <c r="V12" s="16"/>
      <c r="W12" s="16"/>
      <c r="X12" s="16"/>
      <c r="Y12" s="16"/>
    </row>
    <row r="13" ht="15.75" customHeight="1">
      <c r="A13" s="16" t="s">
        <v>58</v>
      </c>
      <c r="B13" s="16" t="s">
        <v>44</v>
      </c>
      <c r="C13" s="16" t="s">
        <v>197</v>
      </c>
      <c r="D13" s="16" t="s">
        <v>209</v>
      </c>
      <c r="E13" s="23">
        <f t="shared" si="1"/>
        <v>1.166666667</v>
      </c>
      <c r="F13" s="16">
        <f>VLOOKUP(A13,Oonasfriend2!A:C,3,FALSE)</f>
        <v>1</v>
      </c>
      <c r="G13" s="16">
        <f>VLOOKUP(A13,Oonasfriend1!A:C,3,FALSE)</f>
        <v>2</v>
      </c>
      <c r="H13" s="16">
        <f>VLOOKUP(A13,Oona!A:C,3,FALSE)</f>
        <v>1</v>
      </c>
      <c r="I13" s="16">
        <f>VLOOKUP(A13,Ona!A:C,3,FALSE)</f>
        <v>1</v>
      </c>
      <c r="J13" s="16">
        <f>VLOOKUP(A13,Yuxin!A:C,3,FALSE)</f>
        <v>1</v>
      </c>
      <c r="K13" s="16">
        <f>VLOOKUP(A13,Linyao!A:C,3,FALSE)</f>
        <v>1</v>
      </c>
      <c r="L13" s="23">
        <f t="shared" si="2"/>
        <v>2.166666667</v>
      </c>
      <c r="M13" s="16">
        <f>VLOOKUP(A13,Oonasfriend2!A:D,4,FALSE)</f>
        <v>2</v>
      </c>
      <c r="N13" s="16">
        <f>VLOOKUP(A13,Oonasfriend1!A:D,4,FALSE)</f>
        <v>1</v>
      </c>
      <c r="O13" s="16">
        <f>VLOOKUP(A13,Oona!A:D,4,FALSE)</f>
        <v>2</v>
      </c>
      <c r="P13" s="16">
        <f>VLOOKUP(A13,Ona!A:D,4,FALSE)</f>
        <v>2</v>
      </c>
      <c r="Q13" s="16">
        <f>VLOOKUP(A13,Yuxin!A:D,4,FALSE)</f>
        <v>3</v>
      </c>
      <c r="R13" s="16">
        <f>VLOOKUP(A13,Linyao!A:D,4,FALSE)</f>
        <v>3</v>
      </c>
      <c r="S13" s="16"/>
      <c r="T13" s="16"/>
      <c r="U13" s="16"/>
      <c r="V13" s="16"/>
      <c r="W13" s="16"/>
      <c r="X13" s="16"/>
      <c r="Y13" s="16"/>
    </row>
    <row r="14" ht="15.75" customHeight="1">
      <c r="A14" s="16" t="s">
        <v>45</v>
      </c>
      <c r="B14" s="16" t="s">
        <v>46</v>
      </c>
      <c r="C14" s="16" t="s">
        <v>193</v>
      </c>
      <c r="D14" s="16" t="s">
        <v>210</v>
      </c>
      <c r="E14" s="23">
        <f t="shared" si="1"/>
        <v>2.666666667</v>
      </c>
      <c r="F14" s="16">
        <f>VLOOKUP(A14,Oonasfriend2!A:C,3,FALSE)</f>
        <v>3</v>
      </c>
      <c r="G14" s="16">
        <f>VLOOKUP(A14,Oonasfriend1!A:C,3,FALSE)</f>
        <v>4</v>
      </c>
      <c r="H14" s="16">
        <f>VLOOKUP(A14,Oona!A:C,3,FALSE)</f>
        <v>2</v>
      </c>
      <c r="I14" s="16">
        <f>VLOOKUP(A14,Ona!A:C,3,FALSE)</f>
        <v>3</v>
      </c>
      <c r="J14" s="16">
        <f>VLOOKUP(A14,Yuxin!A:C,3,FALSE)</f>
        <v>2</v>
      </c>
      <c r="K14" s="16">
        <f>VLOOKUP(A14,Linyao!A:C,3,FALSE)</f>
        <v>2</v>
      </c>
      <c r="L14" s="23">
        <f t="shared" si="2"/>
        <v>4.166666667</v>
      </c>
      <c r="M14" s="16">
        <f>VLOOKUP(A14,Oonasfriend2!A:D,4,FALSE)</f>
        <v>5</v>
      </c>
      <c r="N14" s="16">
        <f>VLOOKUP(A14,Oonasfriend1!A:D,4,FALSE)</f>
        <v>5</v>
      </c>
      <c r="O14" s="16">
        <f>VLOOKUP(A14,Oona!A:D,4,FALSE)</f>
        <v>3</v>
      </c>
      <c r="P14" s="16">
        <f>VLOOKUP(A14,Ona!A:D,4,FALSE)</f>
        <v>5</v>
      </c>
      <c r="Q14" s="16">
        <f>VLOOKUP(A14,Yuxin!A:D,4,FALSE)</f>
        <v>3</v>
      </c>
      <c r="R14" s="16">
        <f>VLOOKUP(A14,Linyao!A:D,4,FALSE)</f>
        <v>4</v>
      </c>
      <c r="S14" s="16"/>
      <c r="T14" s="16"/>
      <c r="U14" s="16"/>
      <c r="V14" s="16"/>
      <c r="W14" s="16"/>
      <c r="X14" s="16"/>
      <c r="Y14" s="16"/>
    </row>
    <row r="15" ht="15.75" customHeight="1">
      <c r="A15" s="16" t="s">
        <v>47</v>
      </c>
      <c r="B15" s="16" t="s">
        <v>48</v>
      </c>
      <c r="C15" s="16" t="s">
        <v>193</v>
      </c>
      <c r="D15" s="16" t="s">
        <v>211</v>
      </c>
      <c r="E15" s="23">
        <f t="shared" si="1"/>
        <v>2.166666667</v>
      </c>
      <c r="F15" s="16">
        <f>VLOOKUP(A15,Oonasfriend2!A:C,3,FALSE)</f>
        <v>1</v>
      </c>
      <c r="G15" s="16">
        <f>VLOOKUP(A15,Oonasfriend1!A:C,3,FALSE)</f>
        <v>4</v>
      </c>
      <c r="H15" s="16">
        <f>VLOOKUP(A15,Oona!A:C,3,FALSE)</f>
        <v>1</v>
      </c>
      <c r="I15" s="16">
        <f>VLOOKUP(A15,Ona!A:C,3,FALSE)</f>
        <v>1</v>
      </c>
      <c r="J15" s="16">
        <f>VLOOKUP(A15,Yuxin!A:C,3,FALSE)</f>
        <v>2</v>
      </c>
      <c r="K15" s="16">
        <f>VLOOKUP(A15,Linyao!A:C,3,FALSE)</f>
        <v>4</v>
      </c>
      <c r="L15" s="23">
        <f t="shared" si="2"/>
        <v>1</v>
      </c>
      <c r="M15" s="16">
        <f>VLOOKUP(A15,Oonasfriend2!A:D,4,FALSE)</f>
        <v>1</v>
      </c>
      <c r="N15" s="16">
        <f>VLOOKUP(A15,Oonasfriend1!A:D,4,FALSE)</f>
        <v>1</v>
      </c>
      <c r="O15" s="16">
        <f>VLOOKUP(A15,Oona!A:D,4,FALSE)</f>
        <v>1</v>
      </c>
      <c r="P15" s="16">
        <f>VLOOKUP(A15,Ona!A:D,4,FALSE)</f>
        <v>1</v>
      </c>
      <c r="Q15" s="16">
        <f>VLOOKUP(A15,Yuxin!A:D,4,FALSE)</f>
        <v>1</v>
      </c>
      <c r="R15" s="16">
        <f>VLOOKUP(A15,Linyao!A:D,4,FALSE)</f>
        <v>1</v>
      </c>
      <c r="S15" s="16"/>
      <c r="T15" s="16"/>
      <c r="U15" s="16"/>
      <c r="V15" s="16"/>
      <c r="W15" s="16"/>
      <c r="X15" s="16"/>
      <c r="Y15" s="16"/>
    </row>
    <row r="16" ht="15.75" customHeight="1">
      <c r="A16" s="16" t="s">
        <v>212</v>
      </c>
      <c r="B16" s="16" t="s">
        <v>50</v>
      </c>
      <c r="C16" s="16" t="s">
        <v>197</v>
      </c>
      <c r="D16" s="16" t="s">
        <v>213</v>
      </c>
      <c r="E16" s="23">
        <f t="shared" si="1"/>
        <v>2.666666667</v>
      </c>
      <c r="F16" s="16">
        <f>VLOOKUP(A16,Oonasfriend2!A:C,3,FALSE)</f>
        <v>3</v>
      </c>
      <c r="G16" s="16">
        <f>VLOOKUP(A16,Oonasfriend1!A:C,3,FALSE)</f>
        <v>5</v>
      </c>
      <c r="H16" s="16">
        <f>VLOOKUP(A16,Oona!A:C,3,FALSE)</f>
        <v>3</v>
      </c>
      <c r="I16" s="16">
        <f>VLOOKUP(A16,Ona!A:C,3,FALSE)</f>
        <v>2</v>
      </c>
      <c r="J16" s="16">
        <f>VLOOKUP(A16,Yuxin!A:C,3,FALSE)</f>
        <v>2</v>
      </c>
      <c r="K16" s="16">
        <f>VLOOKUP(A16,Linyao!A:C,3,FALSE)</f>
        <v>1</v>
      </c>
      <c r="L16" s="23">
        <f t="shared" si="2"/>
        <v>3.166666667</v>
      </c>
      <c r="M16" s="16">
        <f>VLOOKUP(A16,Oonasfriend2!A:D,4,FALSE)</f>
        <v>4</v>
      </c>
      <c r="N16" s="16">
        <f>VLOOKUP(A16,Oonasfriend1!A:D,4,FALSE)</f>
        <v>5</v>
      </c>
      <c r="O16" s="16">
        <f>VLOOKUP(A16,Oona!A:D,4,FALSE)</f>
        <v>3</v>
      </c>
      <c r="P16" s="16">
        <f>VLOOKUP(A16,Ona!A:D,4,FALSE)</f>
        <v>2</v>
      </c>
      <c r="Q16" s="16">
        <f>VLOOKUP(A16,Yuxin!A:D,4,FALSE)</f>
        <v>3</v>
      </c>
      <c r="R16" s="16">
        <f>VLOOKUP(A16,Linyao!A:D,4,FALSE)</f>
        <v>2</v>
      </c>
      <c r="S16" s="16"/>
      <c r="T16" s="16"/>
      <c r="U16" s="16"/>
      <c r="V16" s="16"/>
      <c r="W16" s="16"/>
      <c r="X16" s="16"/>
      <c r="Y16" s="16"/>
    </row>
    <row r="17" ht="15.75" customHeight="1">
      <c r="A17" s="16" t="s">
        <v>214</v>
      </c>
      <c r="B17" s="16" t="s">
        <v>52</v>
      </c>
      <c r="C17" s="16" t="s">
        <v>197</v>
      </c>
      <c r="D17" s="16" t="s">
        <v>215</v>
      </c>
      <c r="E17" s="23">
        <f t="shared" si="1"/>
        <v>2.833333333</v>
      </c>
      <c r="F17" s="16">
        <f>VLOOKUP(A17,Oonasfriend2!A:C,3,FALSE)</f>
        <v>2</v>
      </c>
      <c r="G17" s="16">
        <f>VLOOKUP(A17,Oonasfriend1!A:C,3,FALSE)</f>
        <v>2</v>
      </c>
      <c r="H17" s="16">
        <f>VLOOKUP(A17,Oona!A:C,3,FALSE)</f>
        <v>2</v>
      </c>
      <c r="I17" s="16">
        <f>VLOOKUP(A17,Ona!A:C,3,FALSE)</f>
        <v>2</v>
      </c>
      <c r="J17" s="16">
        <f>VLOOKUP(A17,Yuxin!A:C,3,FALSE)</f>
        <v>5</v>
      </c>
      <c r="K17" s="16">
        <f>VLOOKUP(A17,Linyao!A:C,3,FALSE)</f>
        <v>4</v>
      </c>
      <c r="L17" s="23">
        <f t="shared" si="2"/>
        <v>4.5</v>
      </c>
      <c r="M17" s="16">
        <f>VLOOKUP(A17,Oonasfriend2!A:D,4,FALSE)</f>
        <v>5</v>
      </c>
      <c r="N17" s="16">
        <f>VLOOKUP(A17,Oonasfriend1!A:D,4,FALSE)</f>
        <v>4</v>
      </c>
      <c r="O17" s="16">
        <f>VLOOKUP(A17,Oona!A:D,4,FALSE)</f>
        <v>3</v>
      </c>
      <c r="P17" s="16">
        <f>VLOOKUP(A17,Ona!A:D,4,FALSE)</f>
        <v>5</v>
      </c>
      <c r="Q17" s="16">
        <f>VLOOKUP(A17,Yuxin!A:D,4,FALSE)</f>
        <v>5</v>
      </c>
      <c r="R17" s="16">
        <f>VLOOKUP(A17,Linyao!A:D,4,FALSE)</f>
        <v>5</v>
      </c>
      <c r="S17" s="16"/>
      <c r="T17" s="16"/>
      <c r="U17" s="16"/>
      <c r="V17" s="16"/>
      <c r="W17" s="16"/>
      <c r="X17" s="16"/>
      <c r="Y17" s="16"/>
    </row>
    <row r="18" ht="15.75" customHeight="1">
      <c r="A18" s="16" t="s">
        <v>216</v>
      </c>
      <c r="B18" s="16" t="s">
        <v>54</v>
      </c>
      <c r="C18" s="16" t="s">
        <v>197</v>
      </c>
      <c r="D18" s="16" t="s">
        <v>217</v>
      </c>
      <c r="E18" s="23">
        <f t="shared" si="1"/>
        <v>2.333333333</v>
      </c>
      <c r="F18" s="16">
        <f>VLOOKUP(A18,Oonasfriend2!A:C,3,FALSE)</f>
        <v>2</v>
      </c>
      <c r="G18" s="16">
        <f>VLOOKUP(A18,Oonasfriend1!A:C,3,FALSE)</f>
        <v>5</v>
      </c>
      <c r="H18" s="16">
        <f>VLOOKUP(A18,Oona!A:C,3,FALSE)</f>
        <v>2</v>
      </c>
      <c r="I18" s="16">
        <f>VLOOKUP(A18,Ona!A:C,3,FALSE)</f>
        <v>2</v>
      </c>
      <c r="J18" s="16">
        <f>VLOOKUP(A18,Yuxin!A:C,3,FALSE)</f>
        <v>2</v>
      </c>
      <c r="K18" s="16">
        <f>VLOOKUP(A18,Linyao!A:C,3,FALSE)</f>
        <v>1</v>
      </c>
      <c r="L18" s="23">
        <f t="shared" si="2"/>
        <v>2.333333333</v>
      </c>
      <c r="M18" s="16">
        <f>VLOOKUP(A18,Oonasfriend2!A:D,4,FALSE)</f>
        <v>3</v>
      </c>
      <c r="N18" s="16">
        <f>VLOOKUP(A18,Oonasfriend1!A:D,4,FALSE)</f>
        <v>2</v>
      </c>
      <c r="O18" s="16">
        <f>VLOOKUP(A18,Oona!A:D,4,FALSE)</f>
        <v>2</v>
      </c>
      <c r="P18" s="16">
        <f>VLOOKUP(A18,Ona!A:D,4,FALSE)</f>
        <v>1</v>
      </c>
      <c r="Q18" s="16">
        <f>VLOOKUP(A18,Yuxin!A:D,4,FALSE)</f>
        <v>2</v>
      </c>
      <c r="R18" s="16">
        <f>VLOOKUP(A18,Linyao!A:D,4,FALSE)</f>
        <v>4</v>
      </c>
      <c r="S18" s="16"/>
      <c r="T18" s="16"/>
      <c r="U18" s="16"/>
      <c r="V18" s="16"/>
      <c r="W18" s="16"/>
      <c r="X18" s="16"/>
      <c r="Y18" s="16"/>
    </row>
    <row r="19" ht="15.75" customHeight="1">
      <c r="A19" s="16" t="s">
        <v>216</v>
      </c>
      <c r="B19" s="16" t="s">
        <v>55</v>
      </c>
      <c r="C19" s="16" t="s">
        <v>193</v>
      </c>
      <c r="D19" s="16" t="s">
        <v>218</v>
      </c>
      <c r="E19" s="23">
        <f t="shared" si="1"/>
        <v>2.333333333</v>
      </c>
      <c r="F19" s="16">
        <f>VLOOKUP(A19,Oonasfriend2!A:C,3,FALSE)</f>
        <v>2</v>
      </c>
      <c r="G19" s="16">
        <f>VLOOKUP(A19,Oonasfriend1!A:C,3,FALSE)</f>
        <v>5</v>
      </c>
      <c r="H19" s="16">
        <f>VLOOKUP(A19,Oona!A:C,3,FALSE)</f>
        <v>2</v>
      </c>
      <c r="I19" s="16">
        <f>VLOOKUP(A19,Ona!A:C,3,FALSE)</f>
        <v>2</v>
      </c>
      <c r="J19" s="16">
        <f>VLOOKUP(A19,Yuxin!A:C,3,FALSE)</f>
        <v>2</v>
      </c>
      <c r="K19" s="16">
        <f>VLOOKUP(A19,Linyao!A:C,3,FALSE)</f>
        <v>1</v>
      </c>
      <c r="L19" s="23">
        <f t="shared" si="2"/>
        <v>2.333333333</v>
      </c>
      <c r="M19" s="16">
        <f>VLOOKUP(A19,Oonasfriend2!A:D,4,FALSE)</f>
        <v>3</v>
      </c>
      <c r="N19" s="16">
        <f>VLOOKUP(A19,Oonasfriend1!A:D,4,FALSE)</f>
        <v>2</v>
      </c>
      <c r="O19" s="16">
        <f>VLOOKUP(A19,Oona!A:D,4,FALSE)</f>
        <v>2</v>
      </c>
      <c r="P19" s="16">
        <f>VLOOKUP(A19,Ona!A:D,4,FALSE)</f>
        <v>1</v>
      </c>
      <c r="Q19" s="16">
        <f>VLOOKUP(A19,Yuxin!A:D,4,FALSE)</f>
        <v>2</v>
      </c>
      <c r="R19" s="16">
        <f>VLOOKUP(A19,Linyao!A:D,4,FALSE)</f>
        <v>4</v>
      </c>
      <c r="S19" s="16"/>
      <c r="T19" s="16"/>
      <c r="U19" s="16"/>
      <c r="V19" s="16"/>
      <c r="W19" s="16"/>
      <c r="X19" s="16"/>
      <c r="Y19" s="16"/>
    </row>
    <row r="20" ht="15.75" customHeight="1">
      <c r="A20" s="16" t="s">
        <v>219</v>
      </c>
      <c r="B20" s="16" t="s">
        <v>57</v>
      </c>
      <c r="C20" s="16" t="s">
        <v>197</v>
      </c>
      <c r="D20" s="16" t="s">
        <v>220</v>
      </c>
      <c r="E20" s="23">
        <f t="shared" si="1"/>
        <v>2.833333333</v>
      </c>
      <c r="F20" s="16">
        <f>VLOOKUP(A20,Oonasfriend2!A:C,3,FALSE)</f>
        <v>2</v>
      </c>
      <c r="G20" s="16">
        <f>VLOOKUP(A20,Oonasfriend1!A:C,3,FALSE)</f>
        <v>3</v>
      </c>
      <c r="H20" s="16">
        <f>VLOOKUP(A20,Oona!A:C,3,FALSE)</f>
        <v>1</v>
      </c>
      <c r="I20" s="16">
        <f>VLOOKUP(A20,Ona!A:C,3,FALSE)</f>
        <v>3</v>
      </c>
      <c r="J20" s="16">
        <f>VLOOKUP(A20,Yuxin!A:C,3,FALSE)</f>
        <v>3</v>
      </c>
      <c r="K20" s="16">
        <f>VLOOKUP(A20,Linyao!A:C,3,FALSE)</f>
        <v>5</v>
      </c>
      <c r="L20" s="23">
        <f t="shared" si="2"/>
        <v>3.666666667</v>
      </c>
      <c r="M20" s="16">
        <f>VLOOKUP(A20,Oonasfriend2!A:D,4,FALSE)</f>
        <v>5</v>
      </c>
      <c r="N20" s="16">
        <f>VLOOKUP(A20,Oonasfriend1!A:D,4,FALSE)</f>
        <v>4</v>
      </c>
      <c r="O20" s="16">
        <f>VLOOKUP(A20,Oona!A:D,4,FALSE)</f>
        <v>1</v>
      </c>
      <c r="P20" s="16">
        <f>VLOOKUP(A20,Ona!A:D,4,FALSE)</f>
        <v>4</v>
      </c>
      <c r="Q20" s="16">
        <f>VLOOKUP(A20,Yuxin!A:D,4,FALSE)</f>
        <v>3</v>
      </c>
      <c r="R20" s="16">
        <f>VLOOKUP(A20,Linyao!A:D,4,FALSE)</f>
        <v>5</v>
      </c>
      <c r="S20" s="16"/>
      <c r="T20" s="16"/>
      <c r="U20" s="16"/>
      <c r="V20" s="16"/>
      <c r="W20" s="16"/>
      <c r="X20" s="16"/>
      <c r="Y20" s="16"/>
    </row>
    <row r="21" ht="15.75" customHeight="1">
      <c r="A21" s="16" t="s">
        <v>58</v>
      </c>
      <c r="B21" s="16" t="s">
        <v>59</v>
      </c>
      <c r="C21" s="16" t="s">
        <v>193</v>
      </c>
      <c r="D21" s="16" t="s">
        <v>221</v>
      </c>
      <c r="E21" s="23">
        <f t="shared" si="1"/>
        <v>1.166666667</v>
      </c>
      <c r="F21" s="16">
        <f>VLOOKUP(A21,Oonasfriend2!A:C,3,FALSE)</f>
        <v>1</v>
      </c>
      <c r="G21" s="16">
        <f>VLOOKUP(A21,Oonasfriend1!A:C,3,FALSE)</f>
        <v>2</v>
      </c>
      <c r="H21" s="16">
        <f>VLOOKUP(A21,Oona!A:C,3,FALSE)</f>
        <v>1</v>
      </c>
      <c r="I21" s="16">
        <f>VLOOKUP(A21,Ona!A:C,3,FALSE)</f>
        <v>1</v>
      </c>
      <c r="J21" s="16">
        <f>VLOOKUP(A21,Yuxin!A:C,3,FALSE)</f>
        <v>1</v>
      </c>
      <c r="K21" s="16">
        <f>VLOOKUP(A21,Linyao!A:C,3,FALSE)</f>
        <v>1</v>
      </c>
      <c r="L21" s="23">
        <f t="shared" si="2"/>
        <v>2.166666667</v>
      </c>
      <c r="M21" s="16">
        <f>VLOOKUP(A21,Oonasfriend2!A:D,4,FALSE)</f>
        <v>2</v>
      </c>
      <c r="N21" s="16">
        <f>VLOOKUP(A21,Oonasfriend1!A:D,4,FALSE)</f>
        <v>1</v>
      </c>
      <c r="O21" s="16">
        <f>VLOOKUP(A21,Oona!A:D,4,FALSE)</f>
        <v>2</v>
      </c>
      <c r="P21" s="16">
        <f>VLOOKUP(A21,Ona!A:D,4,FALSE)</f>
        <v>2</v>
      </c>
      <c r="Q21" s="16">
        <f>VLOOKUP(A21,Yuxin!A:D,4,FALSE)</f>
        <v>3</v>
      </c>
      <c r="R21" s="16">
        <f>VLOOKUP(A21,Linyao!A:D,4,FALSE)</f>
        <v>3</v>
      </c>
      <c r="S21" s="16"/>
      <c r="T21" s="16"/>
      <c r="U21" s="16"/>
      <c r="V21" s="16"/>
      <c r="W21" s="16"/>
      <c r="X21" s="16"/>
      <c r="Y21" s="16"/>
    </row>
    <row r="22" ht="15.75" customHeight="1">
      <c r="A22" s="16" t="s">
        <v>60</v>
      </c>
      <c r="B22" s="16" t="s">
        <v>61</v>
      </c>
      <c r="C22" s="16" t="s">
        <v>193</v>
      </c>
      <c r="D22" s="16" t="s">
        <v>222</v>
      </c>
      <c r="E22" s="23">
        <f t="shared" si="1"/>
        <v>2</v>
      </c>
      <c r="F22" s="16">
        <f>VLOOKUP(A22,Oonasfriend2!A:C,3,FALSE)</f>
        <v>1</v>
      </c>
      <c r="G22" s="16">
        <f>VLOOKUP(A22,Oonasfriend1!A:C,3,FALSE)</f>
        <v>2</v>
      </c>
      <c r="H22" s="16">
        <f>VLOOKUP(A22,Oona!A:C,3,FALSE)</f>
        <v>2</v>
      </c>
      <c r="I22" s="16">
        <f>VLOOKUP(A22,Ona!A:C,3,FALSE)</f>
        <v>2</v>
      </c>
      <c r="J22" s="16">
        <f>VLOOKUP(A22,Yuxin!A:C,3,FALSE)</f>
        <v>3</v>
      </c>
      <c r="K22" s="16">
        <f>VLOOKUP(A22,Linyao!A:C,3,FALSE)</f>
        <v>2</v>
      </c>
      <c r="L22" s="23">
        <f t="shared" si="2"/>
        <v>1.166666667</v>
      </c>
      <c r="M22" s="16">
        <f>VLOOKUP(A22,Oonasfriend2!A:D,4,FALSE)</f>
        <v>1</v>
      </c>
      <c r="N22" s="16">
        <f>VLOOKUP(A22,Oonasfriend1!A:D,4,FALSE)</f>
        <v>1</v>
      </c>
      <c r="O22" s="16">
        <f>VLOOKUP(A22,Oona!A:D,4,FALSE)</f>
        <v>1</v>
      </c>
      <c r="P22" s="16">
        <f>VLOOKUP(A22,Ona!A:D,4,FALSE)</f>
        <v>1</v>
      </c>
      <c r="Q22" s="16">
        <f>VLOOKUP(A22,Yuxin!A:D,4,FALSE)</f>
        <v>2</v>
      </c>
      <c r="R22" s="16">
        <f>VLOOKUP(A22,Linyao!A:D,4,FALSE)</f>
        <v>1</v>
      </c>
      <c r="S22" s="16"/>
      <c r="T22" s="16"/>
      <c r="U22" s="16"/>
      <c r="V22" s="16"/>
      <c r="W22" s="16"/>
      <c r="X22" s="16"/>
      <c r="Y22" s="16"/>
    </row>
    <row r="23" ht="15.75" customHeight="1">
      <c r="A23" s="16" t="s">
        <v>223</v>
      </c>
      <c r="B23" s="16" t="s">
        <v>63</v>
      </c>
      <c r="C23" s="16" t="s">
        <v>197</v>
      </c>
      <c r="D23" s="16" t="s">
        <v>224</v>
      </c>
      <c r="E23" s="23">
        <f t="shared" si="1"/>
        <v>2.5</v>
      </c>
      <c r="F23" s="16">
        <f>VLOOKUP(A23,Oonasfriend2!A:C,3,FALSE)</f>
        <v>2</v>
      </c>
      <c r="G23" s="16">
        <f>VLOOKUP(A23,Oonasfriend1!A:C,3,FALSE)</f>
        <v>2</v>
      </c>
      <c r="H23" s="16">
        <f>VLOOKUP(A23,Oona!A:C,3,FALSE)</f>
        <v>3</v>
      </c>
      <c r="I23" s="16">
        <f>VLOOKUP(A23,Ona!A:C,3,FALSE)</f>
        <v>2</v>
      </c>
      <c r="J23" s="16">
        <f>VLOOKUP(A23,Yuxin!A:C,3,FALSE)</f>
        <v>4</v>
      </c>
      <c r="K23" s="16">
        <f>VLOOKUP(A23,Linyao!A:C,3,FALSE)</f>
        <v>2</v>
      </c>
      <c r="L23" s="23">
        <f t="shared" si="2"/>
        <v>4.666666667</v>
      </c>
      <c r="M23" s="16">
        <f>VLOOKUP(A23,Oonasfriend2!A:D,4,FALSE)</f>
        <v>5</v>
      </c>
      <c r="N23" s="16">
        <f>VLOOKUP(A23,Oonasfriend1!A:D,4,FALSE)</f>
        <v>5</v>
      </c>
      <c r="O23" s="16">
        <f>VLOOKUP(A23,Oona!A:D,4,FALSE)</f>
        <v>4</v>
      </c>
      <c r="P23" s="16">
        <f>VLOOKUP(A23,Ona!A:D,4,FALSE)</f>
        <v>5</v>
      </c>
      <c r="Q23" s="16">
        <f>VLOOKUP(A23,Yuxin!A:D,4,FALSE)</f>
        <v>4</v>
      </c>
      <c r="R23" s="16">
        <f>VLOOKUP(A23,Linyao!A:D,4,FALSE)</f>
        <v>5</v>
      </c>
      <c r="S23" s="16"/>
      <c r="T23" s="16"/>
      <c r="U23" s="16"/>
      <c r="V23" s="16"/>
      <c r="W23" s="16"/>
      <c r="X23" s="16"/>
      <c r="Y23" s="16"/>
    </row>
    <row r="24" ht="15.75" customHeight="1">
      <c r="A24" s="16" t="s">
        <v>64</v>
      </c>
      <c r="B24" s="16" t="s">
        <v>65</v>
      </c>
      <c r="C24" s="16" t="s">
        <v>197</v>
      </c>
      <c r="D24" s="16" t="s">
        <v>225</v>
      </c>
      <c r="E24" s="23">
        <f t="shared" si="1"/>
        <v>2.833333333</v>
      </c>
      <c r="F24" s="16">
        <f>VLOOKUP(A24,Oonasfriend2!A:C,3,FALSE)</f>
        <v>1</v>
      </c>
      <c r="G24" s="16">
        <f>VLOOKUP(A24,Oonasfriend1!A:C,3,FALSE)</f>
        <v>5</v>
      </c>
      <c r="H24" s="16">
        <f>VLOOKUP(A24,Oona!A:C,3,FALSE)</f>
        <v>3</v>
      </c>
      <c r="I24" s="16">
        <f>VLOOKUP(A24,Ona!A:C,3,FALSE)</f>
        <v>3</v>
      </c>
      <c r="J24" s="16">
        <f>VLOOKUP(A24,Yuxin!A:C,3,FALSE)</f>
        <v>4</v>
      </c>
      <c r="K24" s="16">
        <f>VLOOKUP(A24,Linyao!A:C,3,FALSE)</f>
        <v>1</v>
      </c>
      <c r="L24" s="23">
        <f t="shared" si="2"/>
        <v>4.5</v>
      </c>
      <c r="M24" s="16">
        <f>VLOOKUP(A24,Oonasfriend2!A:D,4,FALSE)</f>
        <v>5</v>
      </c>
      <c r="N24" s="16">
        <f>VLOOKUP(A24,Oonasfriend1!A:D,4,FALSE)</f>
        <v>5</v>
      </c>
      <c r="O24" s="16">
        <f>VLOOKUP(A24,Oona!A:D,4,FALSE)</f>
        <v>5</v>
      </c>
      <c r="P24" s="16">
        <f>VLOOKUP(A24,Ona!A:D,4,FALSE)</f>
        <v>5</v>
      </c>
      <c r="Q24" s="16">
        <f>VLOOKUP(A24,Yuxin!A:D,4,FALSE)</f>
        <v>4</v>
      </c>
      <c r="R24" s="16">
        <f>VLOOKUP(A24,Linyao!A:D,4,FALSE)</f>
        <v>3</v>
      </c>
      <c r="S24" s="16"/>
      <c r="T24" s="16"/>
      <c r="U24" s="16"/>
      <c r="V24" s="16"/>
      <c r="W24" s="16"/>
      <c r="X24" s="16"/>
      <c r="Y24" s="16"/>
    </row>
    <row r="25" ht="15.75" customHeight="1">
      <c r="A25" s="16" t="s">
        <v>66</v>
      </c>
      <c r="B25" s="16" t="s">
        <v>67</v>
      </c>
      <c r="C25" s="16" t="s">
        <v>197</v>
      </c>
      <c r="D25" s="16" t="s">
        <v>226</v>
      </c>
      <c r="E25" s="23">
        <f t="shared" si="1"/>
        <v>1.333333333</v>
      </c>
      <c r="F25" s="16">
        <f>VLOOKUP(A25,Oonasfriend2!A:C,3,FALSE)</f>
        <v>1</v>
      </c>
      <c r="G25" s="16">
        <f>VLOOKUP(A25,Oonasfriend1!A:C,3,FALSE)</f>
        <v>2</v>
      </c>
      <c r="H25" s="16">
        <f>VLOOKUP(A25,Oona!A:C,3,FALSE)</f>
        <v>1</v>
      </c>
      <c r="I25" s="16">
        <f>VLOOKUP(A25,Ona!A:C,3,FALSE)</f>
        <v>1</v>
      </c>
      <c r="J25" s="16">
        <f>VLOOKUP(A25,Yuxin!A:C,3,FALSE)</f>
        <v>2</v>
      </c>
      <c r="K25" s="16">
        <f>VLOOKUP(A25,Linyao!A:C,3,FALSE)</f>
        <v>1</v>
      </c>
      <c r="L25" s="23">
        <f t="shared" si="2"/>
        <v>3.333333333</v>
      </c>
      <c r="M25" s="16">
        <f>VLOOKUP(A25,Oonasfriend2!A:D,4,FALSE)</f>
        <v>4</v>
      </c>
      <c r="N25" s="16">
        <f>VLOOKUP(A25,Oonasfriend1!A:D,4,FALSE)</f>
        <v>3</v>
      </c>
      <c r="O25" s="16">
        <f>VLOOKUP(A25,Oona!A:D,4,FALSE)</f>
        <v>1</v>
      </c>
      <c r="P25" s="16">
        <f>VLOOKUP(A25,Ona!A:D,4,FALSE)</f>
        <v>5</v>
      </c>
      <c r="Q25" s="16">
        <f>VLOOKUP(A25,Yuxin!A:D,4,FALSE)</f>
        <v>2</v>
      </c>
      <c r="R25" s="16">
        <f>VLOOKUP(A25,Linyao!A:D,4,FALSE)</f>
        <v>5</v>
      </c>
      <c r="S25" s="16"/>
      <c r="T25" s="16"/>
      <c r="U25" s="16"/>
      <c r="V25" s="16"/>
      <c r="W25" s="16"/>
      <c r="X25" s="16"/>
      <c r="Y25" s="16"/>
    </row>
    <row r="26" ht="15.75" customHeight="1">
      <c r="A26" s="16" t="s">
        <v>227</v>
      </c>
      <c r="B26" s="16" t="s">
        <v>69</v>
      </c>
      <c r="C26" s="16" t="s">
        <v>193</v>
      </c>
      <c r="D26" s="16" t="s">
        <v>228</v>
      </c>
      <c r="E26" s="23">
        <f t="shared" si="1"/>
        <v>1.333333333</v>
      </c>
      <c r="F26" s="16">
        <f>VLOOKUP(A26,Oonasfriend2!A:C,3,FALSE)</f>
        <v>1</v>
      </c>
      <c r="G26" s="16">
        <f>VLOOKUP(A26,Oonasfriend1!A:C,3,FALSE)</f>
        <v>1</v>
      </c>
      <c r="H26" s="16">
        <f>VLOOKUP(A26,Oona!A:C,3,FALSE)</f>
        <v>2</v>
      </c>
      <c r="I26" s="16">
        <f>VLOOKUP(A26,Ona!A:C,3,FALSE)</f>
        <v>1</v>
      </c>
      <c r="J26" s="16">
        <f>VLOOKUP(A26,Yuxin!A:C,3,FALSE)</f>
        <v>2</v>
      </c>
      <c r="K26" s="16">
        <f>VLOOKUP(A26,Linyao!A:C,3,FALSE)</f>
        <v>1</v>
      </c>
      <c r="L26" s="23">
        <f t="shared" si="2"/>
        <v>4</v>
      </c>
      <c r="M26" s="16">
        <f>VLOOKUP(A26,Oonasfriend2!A:D,4,FALSE)</f>
        <v>5</v>
      </c>
      <c r="N26" s="16">
        <f>VLOOKUP(A26,Oonasfriend1!A:D,4,FALSE)</f>
        <v>4</v>
      </c>
      <c r="O26" s="16">
        <f>VLOOKUP(A26,Oona!A:D,4,FALSE)</f>
        <v>5</v>
      </c>
      <c r="P26" s="16">
        <f>VLOOKUP(A26,Ona!A:D,4,FALSE)</f>
        <v>5</v>
      </c>
      <c r="Q26" s="16">
        <f>VLOOKUP(A26,Yuxin!A:D,4,FALSE)</f>
        <v>2</v>
      </c>
      <c r="R26" s="16">
        <f>VLOOKUP(A26,Linyao!A:D,4,FALSE)</f>
        <v>3</v>
      </c>
      <c r="S26" s="16"/>
      <c r="T26" s="16"/>
      <c r="U26" s="16"/>
      <c r="V26" s="16"/>
      <c r="W26" s="16"/>
      <c r="X26" s="16"/>
      <c r="Y26" s="16"/>
    </row>
    <row r="27" ht="15.75" customHeight="1">
      <c r="A27" s="16" t="s">
        <v>229</v>
      </c>
      <c r="B27" s="16" t="s">
        <v>71</v>
      </c>
      <c r="C27" s="16" t="s">
        <v>193</v>
      </c>
      <c r="D27" s="16" t="s">
        <v>230</v>
      </c>
      <c r="E27" s="23">
        <f t="shared" si="1"/>
        <v>1.833333333</v>
      </c>
      <c r="F27" s="16">
        <f>VLOOKUP(A27,Oonasfriend2!A:C,3,FALSE)</f>
        <v>1</v>
      </c>
      <c r="G27" s="16">
        <f>VLOOKUP(A27,Oonasfriend1!A:C,3,FALSE)</f>
        <v>3</v>
      </c>
      <c r="H27" s="16">
        <f>VLOOKUP(A27,Oona!A:C,3,FALSE)</f>
        <v>2</v>
      </c>
      <c r="I27" s="16">
        <f>VLOOKUP(A27,Ona!A:C,3,FALSE)</f>
        <v>1</v>
      </c>
      <c r="J27" s="16">
        <f>VLOOKUP(A27,Yuxin!A:C,3,FALSE)</f>
        <v>1</v>
      </c>
      <c r="K27" s="16">
        <f>VLOOKUP(A27,Linyao!A:C,3,FALSE)</f>
        <v>3</v>
      </c>
      <c r="L27" s="23">
        <f t="shared" si="2"/>
        <v>1.333333333</v>
      </c>
      <c r="M27" s="16">
        <f>VLOOKUP(A27,Oonasfriend2!A:D,4,FALSE)</f>
        <v>2</v>
      </c>
      <c r="N27" s="16">
        <f>VLOOKUP(A27,Oonasfriend1!A:D,4,FALSE)</f>
        <v>1</v>
      </c>
      <c r="O27" s="16">
        <f>VLOOKUP(A27,Oona!A:D,4,FALSE)</f>
        <v>1</v>
      </c>
      <c r="P27" s="16">
        <f>VLOOKUP(A27,Ona!A:D,4,FALSE)</f>
        <v>1</v>
      </c>
      <c r="Q27" s="16">
        <f>VLOOKUP(A27,Yuxin!A:D,4,FALSE)</f>
        <v>1</v>
      </c>
      <c r="R27" s="16">
        <f>VLOOKUP(A27,Linyao!A:D,4,FALSE)</f>
        <v>2</v>
      </c>
      <c r="S27" s="16"/>
      <c r="T27" s="16"/>
      <c r="U27" s="16"/>
      <c r="V27" s="16"/>
      <c r="W27" s="16"/>
      <c r="X27" s="16"/>
      <c r="Y27" s="16"/>
    </row>
    <row r="28" ht="15.75" customHeight="1">
      <c r="A28" s="16" t="s">
        <v>231</v>
      </c>
      <c r="B28" s="16" t="s">
        <v>73</v>
      </c>
      <c r="C28" s="16" t="s">
        <v>197</v>
      </c>
      <c r="D28" s="16" t="s">
        <v>232</v>
      </c>
      <c r="E28" s="23">
        <f t="shared" si="1"/>
        <v>1.5</v>
      </c>
      <c r="F28" s="16">
        <f>VLOOKUP(A28,Oonasfriend2!A:C,3,FALSE)</f>
        <v>1</v>
      </c>
      <c r="G28" s="16">
        <f>VLOOKUP(A28,Oonasfriend1!A:C,3,FALSE)</f>
        <v>2</v>
      </c>
      <c r="H28" s="16">
        <f>VLOOKUP(A28,Oona!A:C,3,FALSE)</f>
        <v>1</v>
      </c>
      <c r="I28" s="16">
        <f>VLOOKUP(A28,Ona!A:C,3,FALSE)</f>
        <v>2</v>
      </c>
      <c r="J28" s="16">
        <f>VLOOKUP(A28,Yuxin!A:C,3,FALSE)</f>
        <v>2</v>
      </c>
      <c r="K28" s="16">
        <f>VLOOKUP(A28,Linyao!A:C,3,FALSE)</f>
        <v>1</v>
      </c>
      <c r="L28" s="23">
        <f t="shared" si="2"/>
        <v>3</v>
      </c>
      <c r="M28" s="16">
        <f>VLOOKUP(A28,Oonasfriend2!A:D,4,FALSE)</f>
        <v>5</v>
      </c>
      <c r="N28" s="16">
        <f>VLOOKUP(A28,Oonasfriend1!A:D,4,FALSE)</f>
        <v>2</v>
      </c>
      <c r="O28" s="16">
        <f>VLOOKUP(A28,Oona!A:D,4,FALSE)</f>
        <v>3</v>
      </c>
      <c r="P28" s="16">
        <f>VLOOKUP(A28,Ona!A:D,4,FALSE)</f>
        <v>5</v>
      </c>
      <c r="Q28" s="16">
        <f>VLOOKUP(A28,Yuxin!A:D,4,FALSE)</f>
        <v>2</v>
      </c>
      <c r="R28" s="16">
        <f>VLOOKUP(A28,Linyao!A:D,4,FALSE)</f>
        <v>1</v>
      </c>
      <c r="S28" s="16"/>
      <c r="T28" s="16"/>
      <c r="U28" s="16"/>
      <c r="V28" s="16"/>
      <c r="W28" s="16"/>
      <c r="X28" s="16"/>
      <c r="Y28" s="16"/>
    </row>
    <row r="29" ht="15.75" customHeight="1">
      <c r="A29" s="16" t="s">
        <v>233</v>
      </c>
      <c r="B29" s="16" t="s">
        <v>75</v>
      </c>
      <c r="C29" s="16" t="s">
        <v>197</v>
      </c>
      <c r="D29" s="16" t="s">
        <v>234</v>
      </c>
      <c r="E29" s="23">
        <f t="shared" si="1"/>
        <v>3</v>
      </c>
      <c r="F29" s="16">
        <f>VLOOKUP(A29,Oonasfriend2!A:C,3,FALSE)</f>
        <v>1</v>
      </c>
      <c r="G29" s="16">
        <f>VLOOKUP(A29,Oonasfriend1!A:C,3,FALSE)</f>
        <v>5</v>
      </c>
      <c r="H29" s="16">
        <f>VLOOKUP(A29,Oona!A:C,3,FALSE)</f>
        <v>1</v>
      </c>
      <c r="I29" s="16">
        <f>VLOOKUP(A29,Ona!A:C,3,FALSE)</f>
        <v>3</v>
      </c>
      <c r="J29" s="16">
        <f>VLOOKUP(A29,Yuxin!A:C,3,FALSE)</f>
        <v>3</v>
      </c>
      <c r="K29" s="16">
        <f>VLOOKUP(A29,Linyao!A:C,3,FALSE)</f>
        <v>5</v>
      </c>
      <c r="L29" s="23">
        <f t="shared" si="2"/>
        <v>1.5</v>
      </c>
      <c r="M29" s="16">
        <f>VLOOKUP(A29,Oonasfriend2!A:D,4,FALSE)</f>
        <v>1</v>
      </c>
      <c r="N29" s="16">
        <f>VLOOKUP(A29,Oonasfriend1!A:D,4,FALSE)</f>
        <v>1</v>
      </c>
      <c r="O29" s="16">
        <f>VLOOKUP(A29,Oona!A:D,4,FALSE)</f>
        <v>1</v>
      </c>
      <c r="P29" s="16">
        <f>VLOOKUP(A29,Ona!A:D,4,FALSE)</f>
        <v>1</v>
      </c>
      <c r="Q29" s="16">
        <f>VLOOKUP(A29,Yuxin!A:D,4,FALSE)</f>
        <v>3</v>
      </c>
      <c r="R29" s="16">
        <f>VLOOKUP(A29,Linyao!A:D,4,FALSE)</f>
        <v>2</v>
      </c>
      <c r="S29" s="16"/>
      <c r="T29" s="16"/>
      <c r="U29" s="16"/>
      <c r="V29" s="16"/>
      <c r="W29" s="16"/>
      <c r="X29" s="16"/>
      <c r="Y29" s="16"/>
    </row>
    <row r="30" ht="15.75" customHeight="1">
      <c r="A30" s="16" t="s">
        <v>235</v>
      </c>
      <c r="B30" s="16" t="s">
        <v>77</v>
      </c>
      <c r="C30" s="16" t="s">
        <v>193</v>
      </c>
      <c r="D30" s="16" t="s">
        <v>236</v>
      </c>
      <c r="E30" s="23">
        <f t="shared" si="1"/>
        <v>2.833333333</v>
      </c>
      <c r="F30" s="16">
        <f>VLOOKUP(A30,Oonasfriend2!A:C,3,FALSE)</f>
        <v>1</v>
      </c>
      <c r="G30" s="16">
        <f>VLOOKUP(A30,Oonasfriend1!A:C,3,FALSE)</f>
        <v>3</v>
      </c>
      <c r="H30" s="16">
        <f>VLOOKUP(A30,Oona!A:C,3,FALSE)</f>
        <v>3</v>
      </c>
      <c r="I30" s="16">
        <f>VLOOKUP(A30,Ona!A:C,3,FALSE)</f>
        <v>4</v>
      </c>
      <c r="J30" s="16">
        <f>VLOOKUP(A30,Yuxin!A:C,3,FALSE)</f>
        <v>2</v>
      </c>
      <c r="K30" s="16">
        <f>VLOOKUP(A30,Linyao!A:C,3,FALSE)</f>
        <v>4</v>
      </c>
      <c r="L30" s="23">
        <f t="shared" si="2"/>
        <v>2.166666667</v>
      </c>
      <c r="M30" s="16">
        <f>VLOOKUP(A30,Oonasfriend2!A:D,4,FALSE)</f>
        <v>2</v>
      </c>
      <c r="N30" s="16">
        <f>VLOOKUP(A30,Oonasfriend1!A:D,4,FALSE)</f>
        <v>2</v>
      </c>
      <c r="O30" s="16">
        <f>VLOOKUP(A30,Oona!A:D,4,FALSE)</f>
        <v>2</v>
      </c>
      <c r="P30" s="16">
        <f>VLOOKUP(A30,Ona!A:D,4,FALSE)</f>
        <v>3</v>
      </c>
      <c r="Q30" s="16">
        <f>VLOOKUP(A30,Yuxin!A:D,4,FALSE)</f>
        <v>2</v>
      </c>
      <c r="R30" s="16">
        <f>VLOOKUP(A30,Linyao!A:D,4,FALSE)</f>
        <v>2</v>
      </c>
      <c r="S30" s="16"/>
      <c r="T30" s="16"/>
      <c r="U30" s="16"/>
      <c r="V30" s="16"/>
      <c r="W30" s="16"/>
      <c r="X30" s="16"/>
      <c r="Y30" s="16"/>
    </row>
    <row r="31" ht="15.75" customHeight="1">
      <c r="A31" s="16" t="s">
        <v>45</v>
      </c>
      <c r="B31" s="16" t="s">
        <v>78</v>
      </c>
      <c r="C31" s="16" t="s">
        <v>197</v>
      </c>
      <c r="D31" s="16" t="s">
        <v>237</v>
      </c>
      <c r="E31" s="23">
        <f t="shared" si="1"/>
        <v>2.666666667</v>
      </c>
      <c r="F31" s="16">
        <f>VLOOKUP(A31,Oonasfriend2!A:C,3,FALSE)</f>
        <v>3</v>
      </c>
      <c r="G31" s="16">
        <f>VLOOKUP(A31,Oonasfriend1!A:C,3,FALSE)</f>
        <v>4</v>
      </c>
      <c r="H31" s="16">
        <f>VLOOKUP(A31,Oona!A:C,3,FALSE)</f>
        <v>2</v>
      </c>
      <c r="I31" s="16">
        <f>VLOOKUP(A31,Ona!A:C,3,FALSE)</f>
        <v>3</v>
      </c>
      <c r="J31" s="16">
        <f>VLOOKUP(A31,Yuxin!A:C,3,FALSE)</f>
        <v>2</v>
      </c>
      <c r="K31" s="16">
        <f>VLOOKUP(A31,Linyao!A:C,3,FALSE)</f>
        <v>2</v>
      </c>
      <c r="L31" s="23">
        <f t="shared" si="2"/>
        <v>4.166666667</v>
      </c>
      <c r="M31" s="16">
        <f>VLOOKUP(A31,Oonasfriend2!A:D,4,FALSE)</f>
        <v>5</v>
      </c>
      <c r="N31" s="16">
        <f>VLOOKUP(A31,Oonasfriend1!A:D,4,FALSE)</f>
        <v>5</v>
      </c>
      <c r="O31" s="16">
        <f>VLOOKUP(A31,Oona!A:D,4,FALSE)</f>
        <v>3</v>
      </c>
      <c r="P31" s="16">
        <f>VLOOKUP(A31,Ona!A:D,4,FALSE)</f>
        <v>5</v>
      </c>
      <c r="Q31" s="16">
        <f>VLOOKUP(A31,Yuxin!A:D,4,FALSE)</f>
        <v>3</v>
      </c>
      <c r="R31" s="16">
        <f>VLOOKUP(A31,Linyao!A:D,4,FALSE)</f>
        <v>4</v>
      </c>
      <c r="S31" s="16"/>
      <c r="T31" s="16"/>
      <c r="U31" s="16"/>
      <c r="V31" s="16"/>
      <c r="W31" s="16"/>
      <c r="X31" s="16"/>
      <c r="Y31" s="16"/>
    </row>
    <row r="32" ht="15.75" customHeight="1">
      <c r="A32" s="16" t="s">
        <v>205</v>
      </c>
      <c r="B32" s="16" t="s">
        <v>79</v>
      </c>
      <c r="C32" s="16" t="s">
        <v>193</v>
      </c>
      <c r="D32" s="16" t="s">
        <v>238</v>
      </c>
      <c r="E32" s="23">
        <f t="shared" si="1"/>
        <v>2.333333333</v>
      </c>
      <c r="F32" s="16">
        <f>VLOOKUP(A32,Oonasfriend2!A:C,3,FALSE)</f>
        <v>1</v>
      </c>
      <c r="G32" s="16">
        <f>VLOOKUP(A32,Oonasfriend1!A:C,3,FALSE)</f>
        <v>2</v>
      </c>
      <c r="H32" s="16">
        <f>VLOOKUP(A32,Oona!A:C,3,FALSE)</f>
        <v>2</v>
      </c>
      <c r="I32" s="16">
        <f>VLOOKUP(A32,Ona!A:C,3,FALSE)</f>
        <v>2</v>
      </c>
      <c r="J32" s="16">
        <f>VLOOKUP(A32,Yuxin!A:C,3,FALSE)</f>
        <v>3</v>
      </c>
      <c r="K32" s="16">
        <f>VLOOKUP(A32,Linyao!A:C,3,FALSE)</f>
        <v>4</v>
      </c>
      <c r="L32" s="23">
        <f t="shared" si="2"/>
        <v>1.666666667</v>
      </c>
      <c r="M32" s="16">
        <f>VLOOKUP(A32,Oonasfriend2!A:D,4,FALSE)</f>
        <v>1</v>
      </c>
      <c r="N32" s="16">
        <f>VLOOKUP(A32,Oonasfriend1!A:D,4,FALSE)</f>
        <v>1</v>
      </c>
      <c r="O32" s="16">
        <f>VLOOKUP(A32,Oona!A:D,4,FALSE)</f>
        <v>1</v>
      </c>
      <c r="P32" s="16">
        <f>VLOOKUP(A32,Ona!A:D,4,FALSE)</f>
        <v>1</v>
      </c>
      <c r="Q32" s="16">
        <f>VLOOKUP(A32,Yuxin!A:D,4,FALSE)</f>
        <v>3</v>
      </c>
      <c r="R32" s="16">
        <f>VLOOKUP(A32,Linyao!A:D,4,FALSE)</f>
        <v>3</v>
      </c>
      <c r="S32" s="16"/>
      <c r="T32" s="16"/>
      <c r="U32" s="16"/>
      <c r="V32" s="16"/>
      <c r="W32" s="16"/>
      <c r="X32" s="16"/>
      <c r="Y32" s="16"/>
    </row>
    <row r="33" ht="15.75" customHeight="1">
      <c r="A33" s="16" t="s">
        <v>239</v>
      </c>
      <c r="B33" s="16" t="s">
        <v>81</v>
      </c>
      <c r="C33" s="16" t="s">
        <v>193</v>
      </c>
      <c r="D33" s="16" t="s">
        <v>240</v>
      </c>
      <c r="E33" s="23">
        <f t="shared" si="1"/>
        <v>2.166666667</v>
      </c>
      <c r="F33" s="16">
        <f>VLOOKUP(A33,Oonasfriend2!A:C,3,FALSE)</f>
        <v>1</v>
      </c>
      <c r="G33" s="16">
        <f>VLOOKUP(A33,Oonasfriend1!A:C,3,FALSE)</f>
        <v>2</v>
      </c>
      <c r="H33" s="16">
        <f>VLOOKUP(A33,Oona!A:C,3,FALSE)</f>
        <v>1</v>
      </c>
      <c r="I33" s="16">
        <f>VLOOKUP(A33,Ona!A:C,3,FALSE)</f>
        <v>3</v>
      </c>
      <c r="J33" s="16">
        <f>VLOOKUP(A33,Yuxin!A:C,3,FALSE)</f>
        <v>2</v>
      </c>
      <c r="K33" s="16">
        <f>VLOOKUP(A33,Linyao!A:C,3,FALSE)</f>
        <v>4</v>
      </c>
      <c r="L33" s="23">
        <f t="shared" si="2"/>
        <v>3.166666667</v>
      </c>
      <c r="M33" s="16">
        <f>VLOOKUP(A33,Oonasfriend2!A:D,4,FALSE)</f>
        <v>1</v>
      </c>
      <c r="N33" s="16">
        <f>VLOOKUP(A33,Oonasfriend1!A:D,4,FALSE)</f>
        <v>4</v>
      </c>
      <c r="O33" s="16">
        <f>VLOOKUP(A33,Oona!A:D,4,FALSE)</f>
        <v>1</v>
      </c>
      <c r="P33" s="16">
        <f>VLOOKUP(A33,Ona!A:D,4,FALSE)</f>
        <v>5</v>
      </c>
      <c r="Q33" s="16">
        <f>VLOOKUP(A33,Yuxin!A:D,4,FALSE)</f>
        <v>3</v>
      </c>
      <c r="R33" s="16">
        <f>VLOOKUP(A33,Linyao!A:D,4,FALSE)</f>
        <v>5</v>
      </c>
      <c r="S33" s="16"/>
      <c r="T33" s="16"/>
      <c r="U33" s="16"/>
      <c r="V33" s="16"/>
      <c r="W33" s="16"/>
      <c r="X33" s="16"/>
      <c r="Y33" s="16"/>
    </row>
    <row r="34" ht="15.75" customHeight="1">
      <c r="A34" s="16" t="s">
        <v>82</v>
      </c>
      <c r="B34" s="16" t="s">
        <v>83</v>
      </c>
      <c r="C34" s="16" t="s">
        <v>193</v>
      </c>
      <c r="D34" s="16" t="s">
        <v>241</v>
      </c>
      <c r="E34" s="23">
        <f t="shared" si="1"/>
        <v>2.5</v>
      </c>
      <c r="F34" s="16">
        <f>VLOOKUP(A34,Oonasfriend2!A:C,3,FALSE)</f>
        <v>1</v>
      </c>
      <c r="G34" s="16">
        <f>VLOOKUP(A34,Oonasfriend1!A:C,3,FALSE)</f>
        <v>4</v>
      </c>
      <c r="H34" s="16">
        <f>VLOOKUP(A34,Oona!A:C,3,FALSE)</f>
        <v>1</v>
      </c>
      <c r="I34" s="16">
        <f>VLOOKUP(A34,Ona!A:C,3,FALSE)</f>
        <v>5</v>
      </c>
      <c r="J34" s="16">
        <f>VLOOKUP(A34,Yuxin!A:C,3,FALSE)</f>
        <v>3</v>
      </c>
      <c r="K34" s="16">
        <f>VLOOKUP(A34,Linyao!A:C,3,FALSE)</f>
        <v>1</v>
      </c>
      <c r="L34" s="23">
        <f t="shared" si="2"/>
        <v>1.166666667</v>
      </c>
      <c r="M34" s="16">
        <f>VLOOKUP(A34,Oonasfriend2!A:D,4,FALSE)</f>
        <v>1</v>
      </c>
      <c r="N34" s="16">
        <f>VLOOKUP(A34,Oonasfriend1!A:D,4,FALSE)</f>
        <v>1</v>
      </c>
      <c r="O34" s="16">
        <f>VLOOKUP(A34,Oona!A:D,4,FALSE)</f>
        <v>1</v>
      </c>
      <c r="P34" s="16">
        <f>VLOOKUP(A34,Ona!A:D,4,FALSE)</f>
        <v>1</v>
      </c>
      <c r="Q34" s="16">
        <f>VLOOKUP(A34,Yuxin!A:D,4,FALSE)</f>
        <v>2</v>
      </c>
      <c r="R34" s="16">
        <f>VLOOKUP(A34,Linyao!A:D,4,FALSE)</f>
        <v>1</v>
      </c>
      <c r="S34" s="16"/>
      <c r="T34" s="16"/>
      <c r="U34" s="16"/>
      <c r="V34" s="16"/>
      <c r="W34" s="16"/>
      <c r="X34" s="16"/>
      <c r="Y34" s="16"/>
    </row>
    <row r="35" ht="15.75" customHeight="1">
      <c r="A35" s="16" t="s">
        <v>242</v>
      </c>
      <c r="B35" s="16" t="s">
        <v>85</v>
      </c>
      <c r="C35" s="16" t="s">
        <v>197</v>
      </c>
      <c r="D35" s="16" t="s">
        <v>243</v>
      </c>
      <c r="E35" s="23">
        <f t="shared" si="1"/>
        <v>1.5</v>
      </c>
      <c r="F35" s="16">
        <f>VLOOKUP(A35,Oonasfriend2!A:C,3,FALSE)</f>
        <v>1</v>
      </c>
      <c r="G35" s="16">
        <f>VLOOKUP(A35,Oonasfriend1!A:C,3,FALSE)</f>
        <v>2</v>
      </c>
      <c r="H35" s="16">
        <f>VLOOKUP(A35,Oona!A:C,3,FALSE)</f>
        <v>1</v>
      </c>
      <c r="I35" s="16">
        <f>VLOOKUP(A35,Ona!A:C,3,FALSE)</f>
        <v>2</v>
      </c>
      <c r="J35" s="16">
        <f>VLOOKUP(A35,Yuxin!A:C,3,FALSE)</f>
        <v>2</v>
      </c>
      <c r="K35" s="16">
        <f>VLOOKUP(A35,Linyao!A:C,3,FALSE)</f>
        <v>1</v>
      </c>
      <c r="L35" s="23">
        <f t="shared" si="2"/>
        <v>4.166666667</v>
      </c>
      <c r="M35" s="16">
        <f>VLOOKUP(A35,Oonasfriend2!A:D,4,FALSE)</f>
        <v>5</v>
      </c>
      <c r="N35" s="16">
        <f>VLOOKUP(A35,Oonasfriend1!A:D,4,FALSE)</f>
        <v>4</v>
      </c>
      <c r="O35" s="16">
        <f>VLOOKUP(A35,Oona!A:D,4,FALSE)</f>
        <v>2</v>
      </c>
      <c r="P35" s="16">
        <f>VLOOKUP(A35,Ona!A:D,4,FALSE)</f>
        <v>5</v>
      </c>
      <c r="Q35" s="16">
        <f>VLOOKUP(A35,Yuxin!A:D,4,FALSE)</f>
        <v>4</v>
      </c>
      <c r="R35" s="16">
        <f>VLOOKUP(A35,Linyao!A:D,4,FALSE)</f>
        <v>5</v>
      </c>
      <c r="S35" s="16"/>
      <c r="T35" s="16"/>
      <c r="U35" s="16"/>
      <c r="V35" s="16"/>
      <c r="W35" s="16"/>
      <c r="X35" s="16"/>
      <c r="Y35" s="16"/>
    </row>
    <row r="36" ht="15.75" customHeight="1">
      <c r="A36" s="16" t="s">
        <v>86</v>
      </c>
      <c r="B36" s="16" t="s">
        <v>87</v>
      </c>
      <c r="C36" s="16" t="s">
        <v>193</v>
      </c>
      <c r="D36" s="16" t="s">
        <v>244</v>
      </c>
      <c r="E36" s="23">
        <f t="shared" si="1"/>
        <v>3.166666667</v>
      </c>
      <c r="F36" s="16">
        <f>VLOOKUP(A36,Oonasfriend2!A:C,3,FALSE)</f>
        <v>1</v>
      </c>
      <c r="G36" s="16">
        <f>VLOOKUP(A36,Oonasfriend1!A:C,3,FALSE)</f>
        <v>4</v>
      </c>
      <c r="H36" s="16">
        <f>VLOOKUP(A36,Oona!A:C,3,FALSE)</f>
        <v>1</v>
      </c>
      <c r="I36" s="16">
        <f>VLOOKUP(A36,Ona!A:C,3,FALSE)</f>
        <v>5</v>
      </c>
      <c r="J36" s="16">
        <f>VLOOKUP(A36,Yuxin!A:C,3,FALSE)</f>
        <v>3</v>
      </c>
      <c r="K36" s="16">
        <f>VLOOKUP(A36,Linyao!A:C,3,FALSE)</f>
        <v>5</v>
      </c>
      <c r="L36" s="23">
        <f t="shared" si="2"/>
        <v>1</v>
      </c>
      <c r="M36" s="16">
        <f>VLOOKUP(A36,Oonasfriend2!A:D,4,FALSE)</f>
        <v>1</v>
      </c>
      <c r="N36" s="16">
        <f>VLOOKUP(A36,Oonasfriend1!A:D,4,FALSE)</f>
        <v>1</v>
      </c>
      <c r="O36" s="16">
        <f>VLOOKUP(A36,Oona!A:D,4,FALSE)</f>
        <v>1</v>
      </c>
      <c r="P36" s="16">
        <f>VLOOKUP(A36,Ona!A:D,4,FALSE)</f>
        <v>1</v>
      </c>
      <c r="Q36" s="16">
        <f>VLOOKUP(A36,Yuxin!A:D,4,FALSE)</f>
        <v>1</v>
      </c>
      <c r="R36" s="16">
        <f>VLOOKUP(A36,Linyao!A:D,4,FALSE)</f>
        <v>1</v>
      </c>
      <c r="S36" s="16"/>
      <c r="T36" s="16"/>
      <c r="U36" s="16"/>
      <c r="V36" s="16"/>
      <c r="W36" s="16"/>
      <c r="X36" s="16"/>
      <c r="Y36" s="16"/>
    </row>
    <row r="37" ht="15.75" customHeight="1">
      <c r="A37" s="16" t="s">
        <v>214</v>
      </c>
      <c r="B37" s="16" t="s">
        <v>88</v>
      </c>
      <c r="C37" s="16" t="s">
        <v>193</v>
      </c>
      <c r="D37" s="16" t="s">
        <v>245</v>
      </c>
      <c r="E37" s="23">
        <f t="shared" si="1"/>
        <v>2.833333333</v>
      </c>
      <c r="F37" s="16">
        <f>VLOOKUP(A37,Oonasfriend2!A:C,3,FALSE)</f>
        <v>2</v>
      </c>
      <c r="G37" s="16">
        <f>VLOOKUP(A37,Oonasfriend1!A:C,3,FALSE)</f>
        <v>2</v>
      </c>
      <c r="H37" s="16">
        <f>VLOOKUP(A37,Oona!A:C,3,FALSE)</f>
        <v>2</v>
      </c>
      <c r="I37" s="16">
        <f>VLOOKUP(A37,Ona!A:C,3,FALSE)</f>
        <v>2</v>
      </c>
      <c r="J37" s="16">
        <f>VLOOKUP(A37,Yuxin!A:C,3,FALSE)</f>
        <v>5</v>
      </c>
      <c r="K37" s="16">
        <f>VLOOKUP(A37,Linyao!A:C,3,FALSE)</f>
        <v>4</v>
      </c>
      <c r="L37" s="23">
        <f t="shared" si="2"/>
        <v>4.5</v>
      </c>
      <c r="M37" s="16">
        <f>VLOOKUP(A37,Oonasfriend2!A:D,4,FALSE)</f>
        <v>5</v>
      </c>
      <c r="N37" s="16">
        <f>VLOOKUP(A37,Oonasfriend1!A:D,4,FALSE)</f>
        <v>4</v>
      </c>
      <c r="O37" s="16">
        <f>VLOOKUP(A37,Oona!A:D,4,FALSE)</f>
        <v>3</v>
      </c>
      <c r="P37" s="16">
        <f>VLOOKUP(A37,Ona!A:D,4,FALSE)</f>
        <v>5</v>
      </c>
      <c r="Q37" s="16">
        <f>VLOOKUP(A37,Yuxin!A:D,4,FALSE)</f>
        <v>5</v>
      </c>
      <c r="R37" s="16">
        <f>VLOOKUP(A37,Linyao!A:D,4,FALSE)</f>
        <v>5</v>
      </c>
      <c r="S37" s="16"/>
      <c r="T37" s="16"/>
      <c r="U37" s="16"/>
      <c r="V37" s="16"/>
      <c r="W37" s="16"/>
      <c r="X37" s="16"/>
      <c r="Y37" s="16"/>
    </row>
    <row r="38" ht="15.75" customHeight="1">
      <c r="A38" s="16" t="s">
        <v>246</v>
      </c>
      <c r="B38" s="16" t="s">
        <v>90</v>
      </c>
      <c r="C38" s="16" t="s">
        <v>197</v>
      </c>
      <c r="D38" s="16" t="s">
        <v>247</v>
      </c>
      <c r="E38" s="23">
        <f t="shared" si="1"/>
        <v>1</v>
      </c>
      <c r="F38" s="16">
        <f>VLOOKUP(A38,Oonasfriend2!A:C,3,FALSE)</f>
        <v>1</v>
      </c>
      <c r="G38" s="16">
        <f>VLOOKUP(A38,Oonasfriend1!A:C,3,FALSE)</f>
        <v>1</v>
      </c>
      <c r="H38" s="16">
        <f>VLOOKUP(A38,Oona!A:C,3,FALSE)</f>
        <v>1</v>
      </c>
      <c r="I38" s="16">
        <f>VLOOKUP(A38,Ona!A:C,3,FALSE)</f>
        <v>1</v>
      </c>
      <c r="J38" s="16">
        <f>VLOOKUP(A38,Yuxin!A:C,3,FALSE)</f>
        <v>1</v>
      </c>
      <c r="K38" s="16">
        <f>VLOOKUP(A38,Linyao!A:C,3,FALSE)</f>
        <v>1</v>
      </c>
      <c r="L38" s="23">
        <f t="shared" si="2"/>
        <v>2.666666667</v>
      </c>
      <c r="M38" s="16">
        <f>VLOOKUP(A38,Oonasfriend2!A:D,4,FALSE)</f>
        <v>1</v>
      </c>
      <c r="N38" s="16">
        <f>VLOOKUP(A38,Oonasfriend1!A:D,4,FALSE)</f>
        <v>3</v>
      </c>
      <c r="O38" s="16">
        <f>VLOOKUP(A38,Oona!A:D,4,FALSE)</f>
        <v>3</v>
      </c>
      <c r="P38" s="16">
        <f>VLOOKUP(A38,Ona!A:D,4,FALSE)</f>
        <v>3</v>
      </c>
      <c r="Q38" s="16">
        <f>VLOOKUP(A38,Yuxin!A:D,4,FALSE)</f>
        <v>1</v>
      </c>
      <c r="R38" s="16">
        <f>VLOOKUP(A38,Linyao!A:D,4,FALSE)</f>
        <v>5</v>
      </c>
      <c r="S38" s="16"/>
      <c r="T38" s="16"/>
      <c r="U38" s="16"/>
      <c r="V38" s="16"/>
      <c r="W38" s="16"/>
      <c r="X38" s="16"/>
      <c r="Y38" s="16"/>
    </row>
    <row r="39" ht="15.75" customHeight="1">
      <c r="A39" s="16" t="s">
        <v>248</v>
      </c>
      <c r="B39" s="16" t="s">
        <v>92</v>
      </c>
      <c r="C39" s="16" t="s">
        <v>193</v>
      </c>
      <c r="D39" s="16" t="s">
        <v>249</v>
      </c>
      <c r="E39" s="23">
        <f t="shared" si="1"/>
        <v>2</v>
      </c>
      <c r="F39" s="16">
        <f>VLOOKUP(A39,Oonasfriend2!A:C,3,FALSE)</f>
        <v>1</v>
      </c>
      <c r="G39" s="16">
        <f>VLOOKUP(A39,Oonasfriend1!A:C,3,FALSE)</f>
        <v>3</v>
      </c>
      <c r="H39" s="16">
        <f>VLOOKUP(A39,Oona!A:C,3,FALSE)</f>
        <v>2</v>
      </c>
      <c r="I39" s="16">
        <f>VLOOKUP(A39,Ona!A:C,3,FALSE)</f>
        <v>2</v>
      </c>
      <c r="J39" s="16">
        <f>VLOOKUP(A39,Yuxin!A:C,3,FALSE)</f>
        <v>2</v>
      </c>
      <c r="K39" s="16">
        <f>VLOOKUP(A39,Linyao!A:C,3,FALSE)</f>
        <v>2</v>
      </c>
      <c r="L39" s="23">
        <f t="shared" si="2"/>
        <v>4.166666667</v>
      </c>
      <c r="M39" s="16">
        <f>VLOOKUP(A39,Oonasfriend2!A:D,4,FALSE)</f>
        <v>5</v>
      </c>
      <c r="N39" s="16">
        <f>VLOOKUP(A39,Oonasfriend1!A:D,4,FALSE)</f>
        <v>4</v>
      </c>
      <c r="O39" s="16">
        <f>VLOOKUP(A39,Oona!A:D,4,FALSE)</f>
        <v>3</v>
      </c>
      <c r="P39" s="16">
        <f>VLOOKUP(A39,Ona!A:D,4,FALSE)</f>
        <v>4</v>
      </c>
      <c r="Q39" s="16">
        <f>VLOOKUP(A39,Yuxin!A:D,4,FALSE)</f>
        <v>4</v>
      </c>
      <c r="R39" s="16">
        <f>VLOOKUP(A39,Linyao!A:D,4,FALSE)</f>
        <v>5</v>
      </c>
      <c r="S39" s="16"/>
      <c r="T39" s="16"/>
      <c r="U39" s="16"/>
      <c r="V39" s="16"/>
      <c r="W39" s="16"/>
      <c r="X39" s="16"/>
      <c r="Y39" s="16"/>
    </row>
    <row r="40" ht="15.75" customHeight="1">
      <c r="A40" s="16" t="s">
        <v>250</v>
      </c>
      <c r="B40" s="16" t="s">
        <v>94</v>
      </c>
      <c r="C40" s="16" t="s">
        <v>193</v>
      </c>
      <c r="D40" s="16" t="s">
        <v>251</v>
      </c>
      <c r="E40" s="23">
        <f t="shared" si="1"/>
        <v>1.833333333</v>
      </c>
      <c r="F40" s="16">
        <f>VLOOKUP(A40,Oonasfriend2!A:C,3,FALSE)</f>
        <v>2</v>
      </c>
      <c r="G40" s="16">
        <f>VLOOKUP(A40,Oonasfriend1!A:C,3,FALSE)</f>
        <v>3</v>
      </c>
      <c r="H40" s="16">
        <f>VLOOKUP(A40,Oona!A:C,3,FALSE)</f>
        <v>1</v>
      </c>
      <c r="I40" s="16">
        <f>VLOOKUP(A40,Ona!A:C,3,FALSE)</f>
        <v>1</v>
      </c>
      <c r="J40" s="16">
        <f>VLOOKUP(A40,Yuxin!A:C,3,FALSE)</f>
        <v>2</v>
      </c>
      <c r="K40" s="16">
        <f>VLOOKUP(A40,Linyao!A:C,3,FALSE)</f>
        <v>2</v>
      </c>
      <c r="L40" s="23">
        <f t="shared" si="2"/>
        <v>4.166666667</v>
      </c>
      <c r="M40" s="16">
        <f>VLOOKUP(A40,Oonasfriend2!A:D,4,FALSE)</f>
        <v>5</v>
      </c>
      <c r="N40" s="16">
        <f>VLOOKUP(A40,Oonasfriend1!A:D,4,FALSE)</f>
        <v>5</v>
      </c>
      <c r="O40" s="16">
        <f>VLOOKUP(A40,Oona!A:D,4,FALSE)</f>
        <v>3</v>
      </c>
      <c r="P40" s="16">
        <f>VLOOKUP(A40,Ona!A:D,4,FALSE)</f>
        <v>5</v>
      </c>
      <c r="Q40" s="16">
        <f>VLOOKUP(A40,Yuxin!A:D,4,FALSE)</f>
        <v>2</v>
      </c>
      <c r="R40" s="16">
        <f>VLOOKUP(A40,Linyao!A:D,4,FALSE)</f>
        <v>5</v>
      </c>
      <c r="S40" s="16"/>
      <c r="T40" s="16"/>
      <c r="U40" s="16"/>
      <c r="V40" s="16"/>
      <c r="W40" s="16"/>
      <c r="X40" s="16"/>
      <c r="Y40" s="16"/>
    </row>
    <row r="41" ht="15.75" customHeight="1">
      <c r="A41" s="16" t="s">
        <v>252</v>
      </c>
      <c r="B41" s="16" t="s">
        <v>96</v>
      </c>
      <c r="C41" s="16" t="s">
        <v>197</v>
      </c>
      <c r="D41" s="16" t="s">
        <v>253</v>
      </c>
      <c r="E41" s="23">
        <f t="shared" si="1"/>
        <v>1.666666667</v>
      </c>
      <c r="F41" s="16">
        <f>VLOOKUP(A41,Oonasfriend2!A:C,3,FALSE)</f>
        <v>1</v>
      </c>
      <c r="G41" s="16">
        <f>VLOOKUP(A41,Oonasfriend1!A:C,3,FALSE)</f>
        <v>5</v>
      </c>
      <c r="H41" s="16">
        <f>VLOOKUP(A41,Oona!A:C,3,FALSE)</f>
        <v>1</v>
      </c>
      <c r="I41" s="16">
        <f>VLOOKUP(A41,Ona!A:C,3,FALSE)</f>
        <v>1</v>
      </c>
      <c r="J41" s="16">
        <f>VLOOKUP(A41,Yuxin!A:C,3,FALSE)</f>
        <v>1</v>
      </c>
      <c r="K41" s="16">
        <f>VLOOKUP(A41,Linyao!A:C,3,FALSE)</f>
        <v>1</v>
      </c>
      <c r="L41" s="23">
        <f t="shared" si="2"/>
        <v>3.666666667</v>
      </c>
      <c r="M41" s="16">
        <f>VLOOKUP(A41,Oonasfriend2!A:D,4,FALSE)</f>
        <v>3</v>
      </c>
      <c r="N41" s="16">
        <f>VLOOKUP(A41,Oonasfriend1!A:D,4,FALSE)</f>
        <v>5</v>
      </c>
      <c r="O41" s="16">
        <f>VLOOKUP(A41,Oona!A:D,4,FALSE)</f>
        <v>3</v>
      </c>
      <c r="P41" s="16">
        <f>VLOOKUP(A41,Ona!A:D,4,FALSE)</f>
        <v>4</v>
      </c>
      <c r="Q41" s="16">
        <f>VLOOKUP(A41,Yuxin!A:D,4,FALSE)</f>
        <v>4</v>
      </c>
      <c r="R41" s="16">
        <f>VLOOKUP(A41,Linyao!A:D,4,FALSE)</f>
        <v>3</v>
      </c>
      <c r="S41" s="16"/>
      <c r="T41" s="16"/>
      <c r="U41" s="16"/>
      <c r="V41" s="16"/>
      <c r="W41" s="16"/>
      <c r="X41" s="16"/>
      <c r="Y41" s="16"/>
    </row>
    <row r="42" ht="15.75" customHeight="1">
      <c r="A42" s="16" t="s">
        <v>97</v>
      </c>
      <c r="B42" s="16" t="s">
        <v>98</v>
      </c>
      <c r="C42" s="16" t="s">
        <v>193</v>
      </c>
      <c r="D42" s="16" t="s">
        <v>254</v>
      </c>
      <c r="E42" s="23">
        <f t="shared" si="1"/>
        <v>1.5</v>
      </c>
      <c r="F42" s="16">
        <f>VLOOKUP(A42,Oonasfriend2!A:C,3,FALSE)</f>
        <v>1</v>
      </c>
      <c r="G42" s="16">
        <f>VLOOKUP(A42,Oonasfriend1!A:C,3,FALSE)</f>
        <v>3</v>
      </c>
      <c r="H42" s="16">
        <f>VLOOKUP(A42,Oona!A:C,3,FALSE)</f>
        <v>1</v>
      </c>
      <c r="I42" s="16">
        <f>VLOOKUP(A42,Ona!A:C,3,FALSE)</f>
        <v>1</v>
      </c>
      <c r="J42" s="16">
        <f>VLOOKUP(A42,Yuxin!A:C,3,FALSE)</f>
        <v>2</v>
      </c>
      <c r="K42" s="16">
        <f>VLOOKUP(A42,Linyao!A:C,3,FALSE)</f>
        <v>1</v>
      </c>
      <c r="L42" s="23">
        <f t="shared" si="2"/>
        <v>1.666666667</v>
      </c>
      <c r="M42" s="16">
        <f>VLOOKUP(A42,Oonasfriend2!A:D,4,FALSE)</f>
        <v>1</v>
      </c>
      <c r="N42" s="16">
        <f>VLOOKUP(A42,Oonasfriend1!A:D,4,FALSE)</f>
        <v>2</v>
      </c>
      <c r="O42" s="16">
        <f>VLOOKUP(A42,Oona!A:D,4,FALSE)</f>
        <v>1</v>
      </c>
      <c r="P42" s="16">
        <f>VLOOKUP(A42,Ona!A:D,4,FALSE)</f>
        <v>1</v>
      </c>
      <c r="Q42" s="16">
        <f>VLOOKUP(A42,Yuxin!A:D,4,FALSE)</f>
        <v>1</v>
      </c>
      <c r="R42" s="16">
        <f>VLOOKUP(A42,Linyao!A:D,4,FALSE)</f>
        <v>4</v>
      </c>
      <c r="S42" s="16"/>
      <c r="T42" s="16"/>
      <c r="U42" s="16"/>
      <c r="V42" s="16"/>
      <c r="W42" s="16"/>
      <c r="X42" s="16"/>
      <c r="Y42" s="16"/>
    </row>
    <row r="43" ht="15.75" customHeight="1">
      <c r="A43" s="16" t="s">
        <v>250</v>
      </c>
      <c r="B43" s="16" t="s">
        <v>99</v>
      </c>
      <c r="C43" s="16" t="s">
        <v>197</v>
      </c>
      <c r="D43" s="16" t="s">
        <v>255</v>
      </c>
      <c r="E43" s="23">
        <f t="shared" si="1"/>
        <v>1.833333333</v>
      </c>
      <c r="F43" s="16">
        <f>VLOOKUP(A43,Oonasfriend2!A:C,3,FALSE)</f>
        <v>2</v>
      </c>
      <c r="G43" s="16">
        <f>VLOOKUP(A43,Oonasfriend1!A:C,3,FALSE)</f>
        <v>3</v>
      </c>
      <c r="H43" s="16">
        <f>VLOOKUP(A43,Oona!A:C,3,FALSE)</f>
        <v>1</v>
      </c>
      <c r="I43" s="16">
        <f>VLOOKUP(A43,Ona!A:C,3,FALSE)</f>
        <v>1</v>
      </c>
      <c r="J43" s="16">
        <f>VLOOKUP(A43,Yuxin!A:C,3,FALSE)</f>
        <v>2</v>
      </c>
      <c r="K43" s="16">
        <f>VLOOKUP(A43,Linyao!A:C,3,FALSE)</f>
        <v>2</v>
      </c>
      <c r="L43" s="23">
        <f t="shared" si="2"/>
        <v>4.166666667</v>
      </c>
      <c r="M43" s="16">
        <f>VLOOKUP(A43,Oonasfriend2!A:D,4,FALSE)</f>
        <v>5</v>
      </c>
      <c r="N43" s="16">
        <f>VLOOKUP(A43,Oonasfriend1!A:D,4,FALSE)</f>
        <v>5</v>
      </c>
      <c r="O43" s="16">
        <f>VLOOKUP(A43,Oona!A:D,4,FALSE)</f>
        <v>3</v>
      </c>
      <c r="P43" s="16">
        <f>VLOOKUP(A43,Ona!A:D,4,FALSE)</f>
        <v>5</v>
      </c>
      <c r="Q43" s="16">
        <f>VLOOKUP(A43,Yuxin!A:D,4,FALSE)</f>
        <v>2</v>
      </c>
      <c r="R43" s="16">
        <f>VLOOKUP(A43,Linyao!A:D,4,FALSE)</f>
        <v>5</v>
      </c>
      <c r="S43" s="16"/>
      <c r="T43" s="16"/>
      <c r="U43" s="16"/>
      <c r="V43" s="16"/>
      <c r="W43" s="16"/>
      <c r="X43" s="16"/>
      <c r="Y43" s="16"/>
    </row>
    <row r="44" ht="15.75" customHeight="1">
      <c r="A44" s="16" t="s">
        <v>100</v>
      </c>
      <c r="B44" s="16" t="s">
        <v>101</v>
      </c>
      <c r="C44" s="16" t="s">
        <v>193</v>
      </c>
      <c r="D44" s="16" t="s">
        <v>256</v>
      </c>
      <c r="E44" s="23">
        <f t="shared" si="1"/>
        <v>2.166666667</v>
      </c>
      <c r="F44" s="16">
        <f>VLOOKUP(A44,Oonasfriend2!A:C,3,FALSE)</f>
        <v>1</v>
      </c>
      <c r="G44" s="16">
        <f>VLOOKUP(A44,Oonasfriend1!A:C,3,FALSE)</f>
        <v>2</v>
      </c>
      <c r="H44" s="16">
        <f>VLOOKUP(A44,Oona!A:C,3,FALSE)</f>
        <v>1</v>
      </c>
      <c r="I44" s="16">
        <f>VLOOKUP(A44,Ona!A:C,3,FALSE)</f>
        <v>4</v>
      </c>
      <c r="J44" s="16">
        <f>VLOOKUP(A44,Yuxin!A:C,3,FALSE)</f>
        <v>2</v>
      </c>
      <c r="K44" s="16">
        <f>VLOOKUP(A44,Linyao!A:C,3,FALSE)</f>
        <v>3</v>
      </c>
      <c r="L44" s="23">
        <f t="shared" si="2"/>
        <v>1.166666667</v>
      </c>
      <c r="M44" s="16">
        <f>VLOOKUP(A44,Oonasfriend2!A:D,4,FALSE)</f>
        <v>1</v>
      </c>
      <c r="N44" s="16">
        <f>VLOOKUP(A44,Oonasfriend1!A:D,4,FALSE)</f>
        <v>1</v>
      </c>
      <c r="O44" s="16">
        <f>VLOOKUP(A44,Oona!A:D,4,FALSE)</f>
        <v>1</v>
      </c>
      <c r="P44" s="16">
        <f>VLOOKUP(A44,Ona!A:D,4,FALSE)</f>
        <v>1</v>
      </c>
      <c r="Q44" s="16">
        <f>VLOOKUP(A44,Yuxin!A:D,4,FALSE)</f>
        <v>2</v>
      </c>
      <c r="R44" s="16">
        <f>VLOOKUP(A44,Linyao!A:D,4,FALSE)</f>
        <v>1</v>
      </c>
      <c r="S44" s="16"/>
      <c r="T44" s="16"/>
      <c r="U44" s="16"/>
      <c r="V44" s="16"/>
      <c r="W44" s="16"/>
      <c r="X44" s="16"/>
      <c r="Y44" s="16"/>
    </row>
    <row r="45" ht="15.75" customHeight="1">
      <c r="A45" s="16" t="s">
        <v>257</v>
      </c>
      <c r="B45" s="16" t="s">
        <v>103</v>
      </c>
      <c r="C45" s="16" t="s">
        <v>193</v>
      </c>
      <c r="D45" s="16" t="s">
        <v>258</v>
      </c>
      <c r="E45" s="23">
        <f t="shared" si="1"/>
        <v>1.5</v>
      </c>
      <c r="F45" s="16">
        <f>VLOOKUP(A45,Oonasfriend2!A:C,3,FALSE)</f>
        <v>1</v>
      </c>
      <c r="G45" s="16">
        <f>VLOOKUP(A45,Oonasfriend1!A:C,3,FALSE)</f>
        <v>2</v>
      </c>
      <c r="H45" s="16">
        <f>VLOOKUP(A45,Oona!A:C,3,FALSE)</f>
        <v>1</v>
      </c>
      <c r="I45" s="16">
        <f>VLOOKUP(A45,Ona!A:C,3,FALSE)</f>
        <v>1</v>
      </c>
      <c r="J45" s="16">
        <f>VLOOKUP(A45,Yuxin!A:C,3,FALSE)</f>
        <v>3</v>
      </c>
      <c r="K45" s="16">
        <f>VLOOKUP(A45,Linyao!A:C,3,FALSE)</f>
        <v>1</v>
      </c>
      <c r="L45" s="23">
        <f t="shared" si="2"/>
        <v>3</v>
      </c>
      <c r="M45" s="16">
        <f>VLOOKUP(A45,Oonasfriend2!A:D,4,FALSE)</f>
        <v>3</v>
      </c>
      <c r="N45" s="16">
        <f>VLOOKUP(A45,Oonasfriend1!A:D,4,FALSE)</f>
        <v>2</v>
      </c>
      <c r="O45" s="16">
        <f>VLOOKUP(A45,Oona!A:D,4,FALSE)</f>
        <v>2</v>
      </c>
      <c r="P45" s="16">
        <f>VLOOKUP(A45,Ona!A:D,4,FALSE)</f>
        <v>5</v>
      </c>
      <c r="Q45" s="16">
        <f>VLOOKUP(A45,Yuxin!A:D,4,FALSE)</f>
        <v>3</v>
      </c>
      <c r="R45" s="16">
        <f>VLOOKUP(A45,Linyao!A:D,4,FALSE)</f>
        <v>3</v>
      </c>
      <c r="S45" s="16"/>
      <c r="T45" s="16"/>
      <c r="U45" s="16"/>
      <c r="V45" s="16"/>
      <c r="W45" s="16"/>
      <c r="X45" s="16"/>
      <c r="Y45" s="16"/>
    </row>
    <row r="46" ht="15.75" customHeight="1">
      <c r="A46" s="16" t="s">
        <v>64</v>
      </c>
      <c r="B46" s="16" t="s">
        <v>104</v>
      </c>
      <c r="C46" s="16" t="s">
        <v>193</v>
      </c>
      <c r="D46" s="16" t="s">
        <v>259</v>
      </c>
      <c r="E46" s="23">
        <f t="shared" si="1"/>
        <v>2.833333333</v>
      </c>
      <c r="F46" s="16">
        <f>VLOOKUP(A46,Oonasfriend2!A:C,3,FALSE)</f>
        <v>1</v>
      </c>
      <c r="G46" s="16">
        <f>VLOOKUP(A46,Oonasfriend1!A:C,3,FALSE)</f>
        <v>5</v>
      </c>
      <c r="H46" s="16">
        <f>VLOOKUP(A46,Oona!A:C,3,FALSE)</f>
        <v>3</v>
      </c>
      <c r="I46" s="16">
        <f>VLOOKUP(A46,Ona!A:C,3,FALSE)</f>
        <v>3</v>
      </c>
      <c r="J46" s="16">
        <f>VLOOKUP(A46,Yuxin!A:C,3,FALSE)</f>
        <v>4</v>
      </c>
      <c r="K46" s="16">
        <f>VLOOKUP(A46,Linyao!A:C,3,FALSE)</f>
        <v>1</v>
      </c>
      <c r="L46" s="23">
        <f t="shared" si="2"/>
        <v>4.5</v>
      </c>
      <c r="M46" s="16">
        <f>VLOOKUP(A46,Oonasfriend2!A:D,4,FALSE)</f>
        <v>5</v>
      </c>
      <c r="N46" s="16">
        <f>VLOOKUP(A46,Oonasfriend1!A:D,4,FALSE)</f>
        <v>5</v>
      </c>
      <c r="O46" s="16">
        <f>VLOOKUP(A46,Oona!A:D,4,FALSE)</f>
        <v>5</v>
      </c>
      <c r="P46" s="16">
        <f>VLOOKUP(A46,Ona!A:D,4,FALSE)</f>
        <v>5</v>
      </c>
      <c r="Q46" s="16">
        <f>VLOOKUP(A46,Yuxin!A:D,4,FALSE)</f>
        <v>4</v>
      </c>
      <c r="R46" s="16">
        <f>VLOOKUP(A46,Linyao!A:D,4,FALSE)</f>
        <v>3</v>
      </c>
      <c r="S46" s="16"/>
      <c r="T46" s="16"/>
      <c r="U46" s="16"/>
      <c r="V46" s="16"/>
      <c r="W46" s="16"/>
      <c r="X46" s="16"/>
      <c r="Y46" s="16"/>
    </row>
    <row r="47" ht="15.75" customHeight="1">
      <c r="A47" s="16" t="s">
        <v>41</v>
      </c>
      <c r="B47" s="16" t="s">
        <v>105</v>
      </c>
      <c r="C47" s="16" t="s">
        <v>193</v>
      </c>
      <c r="D47" s="16" t="s">
        <v>260</v>
      </c>
      <c r="E47" s="23">
        <f t="shared" si="1"/>
        <v>2.333333333</v>
      </c>
      <c r="F47" s="16">
        <f>VLOOKUP(A47,Oonasfriend2!A:C,3,FALSE)</f>
        <v>1</v>
      </c>
      <c r="G47" s="16">
        <f>VLOOKUP(A47,Oonasfriend1!A:C,3,FALSE)</f>
        <v>4</v>
      </c>
      <c r="H47" s="16">
        <f>VLOOKUP(A47,Oona!A:C,3,FALSE)</f>
        <v>1</v>
      </c>
      <c r="I47" s="16">
        <f>VLOOKUP(A47,Ona!A:C,3,FALSE)</f>
        <v>3</v>
      </c>
      <c r="J47" s="16">
        <f>VLOOKUP(A47,Yuxin!A:C,3,FALSE)</f>
        <v>4</v>
      </c>
      <c r="K47" s="16">
        <f>VLOOKUP(A47,Linyao!A:C,3,FALSE)</f>
        <v>1</v>
      </c>
      <c r="L47" s="23">
        <f t="shared" si="2"/>
        <v>3.166666667</v>
      </c>
      <c r="M47" s="16">
        <f>VLOOKUP(A47,Oonasfriend2!A:D,4,FALSE)</f>
        <v>3</v>
      </c>
      <c r="N47" s="16">
        <f>VLOOKUP(A47,Oonasfriend1!A:D,4,FALSE)</f>
        <v>3</v>
      </c>
      <c r="O47" s="16">
        <f>VLOOKUP(A47,Oona!A:D,4,FALSE)</f>
        <v>1</v>
      </c>
      <c r="P47" s="16">
        <f>VLOOKUP(A47,Ona!A:D,4,FALSE)</f>
        <v>5</v>
      </c>
      <c r="Q47" s="16">
        <f>VLOOKUP(A47,Yuxin!A:D,4,FALSE)</f>
        <v>4</v>
      </c>
      <c r="R47" s="16">
        <f>VLOOKUP(A47,Linyao!A:D,4,FALSE)</f>
        <v>3</v>
      </c>
      <c r="S47" s="16"/>
      <c r="T47" s="16"/>
      <c r="U47" s="16"/>
      <c r="V47" s="16"/>
      <c r="W47" s="16"/>
      <c r="X47" s="16"/>
      <c r="Y47" s="16"/>
    </row>
    <row r="48" ht="15.75" customHeight="1">
      <c r="A48" s="16" t="s">
        <v>35</v>
      </c>
      <c r="B48" s="16" t="s">
        <v>106</v>
      </c>
      <c r="C48" s="16" t="s">
        <v>193</v>
      </c>
      <c r="D48" s="16" t="s">
        <v>261</v>
      </c>
      <c r="E48" s="23">
        <f t="shared" si="1"/>
        <v>2.666666667</v>
      </c>
      <c r="F48" s="16">
        <f>VLOOKUP(A48,Oonasfriend2!A:C,3,FALSE)</f>
        <v>1</v>
      </c>
      <c r="G48" s="16">
        <f>VLOOKUP(A48,Oonasfriend1!A:C,3,FALSE)</f>
        <v>2</v>
      </c>
      <c r="H48" s="16">
        <f>VLOOKUP(A48,Oona!A:C,3,FALSE)</f>
        <v>1</v>
      </c>
      <c r="I48" s="16">
        <f>VLOOKUP(A48,Ona!A:C,3,FALSE)</f>
        <v>5</v>
      </c>
      <c r="J48" s="16">
        <f>VLOOKUP(A48,Yuxin!A:C,3,FALSE)</f>
        <v>3</v>
      </c>
      <c r="K48" s="16">
        <f>VLOOKUP(A48,Linyao!A:C,3,FALSE)</f>
        <v>4</v>
      </c>
      <c r="L48" s="23">
        <f t="shared" si="2"/>
        <v>2.5</v>
      </c>
      <c r="M48" s="16">
        <f>VLOOKUP(A48,Oonasfriend2!A:D,4,FALSE)</f>
        <v>1</v>
      </c>
      <c r="N48" s="16">
        <f>VLOOKUP(A48,Oonasfriend1!A:D,4,FALSE)</f>
        <v>1</v>
      </c>
      <c r="O48" s="16">
        <f>VLOOKUP(A48,Oona!A:D,4,FALSE)</f>
        <v>1</v>
      </c>
      <c r="P48" s="16">
        <f>VLOOKUP(A48,Ona!A:D,4,FALSE)</f>
        <v>5</v>
      </c>
      <c r="Q48" s="16">
        <f>VLOOKUP(A48,Yuxin!A:D,4,FALSE)</f>
        <v>3</v>
      </c>
      <c r="R48" s="16">
        <f>VLOOKUP(A48,Linyao!A:D,4,FALSE)</f>
        <v>4</v>
      </c>
      <c r="S48" s="16"/>
      <c r="T48" s="16"/>
      <c r="U48" s="16"/>
      <c r="V48" s="16"/>
      <c r="W48" s="16"/>
      <c r="X48" s="16"/>
      <c r="Y48" s="16"/>
    </row>
    <row r="49" ht="15.75" customHeight="1">
      <c r="A49" s="16" t="s">
        <v>107</v>
      </c>
      <c r="B49" s="16" t="s">
        <v>108</v>
      </c>
      <c r="C49" s="16" t="s">
        <v>193</v>
      </c>
      <c r="D49" s="16" t="s">
        <v>262</v>
      </c>
      <c r="E49" s="23">
        <f t="shared" si="1"/>
        <v>1.5</v>
      </c>
      <c r="F49" s="16">
        <f>VLOOKUP(A49,Oonasfriend2!A:C,3,FALSE)</f>
        <v>2</v>
      </c>
      <c r="G49" s="16">
        <f>VLOOKUP(A49,Oonasfriend1!A:C,3,FALSE)</f>
        <v>2</v>
      </c>
      <c r="H49" s="16">
        <f>VLOOKUP(A49,Oona!A:C,3,FALSE)</f>
        <v>1</v>
      </c>
      <c r="I49" s="16">
        <f>VLOOKUP(A49,Ona!A:C,3,FALSE)</f>
        <v>1</v>
      </c>
      <c r="J49" s="16">
        <f>VLOOKUP(A49,Yuxin!A:C,3,FALSE)</f>
        <v>2</v>
      </c>
      <c r="K49" s="16">
        <f>VLOOKUP(A49,Linyao!A:C,3,FALSE)</f>
        <v>1</v>
      </c>
      <c r="L49" s="23">
        <f t="shared" si="2"/>
        <v>1</v>
      </c>
      <c r="M49" s="16">
        <f>VLOOKUP(A49,Oonasfriend2!A:D,4,FALSE)</f>
        <v>1</v>
      </c>
      <c r="N49" s="16">
        <f>VLOOKUP(A49,Oonasfriend1!A:D,4,FALSE)</f>
        <v>1</v>
      </c>
      <c r="O49" s="16">
        <f>VLOOKUP(A49,Oona!A:D,4,FALSE)</f>
        <v>1</v>
      </c>
      <c r="P49" s="16">
        <f>VLOOKUP(A49,Ona!A:D,4,FALSE)</f>
        <v>1</v>
      </c>
      <c r="Q49" s="16">
        <f>VLOOKUP(A49,Yuxin!A:D,4,FALSE)</f>
        <v>1</v>
      </c>
      <c r="R49" s="16">
        <f>VLOOKUP(A49,Linyao!A:D,4,FALSE)</f>
        <v>1</v>
      </c>
      <c r="S49" s="16"/>
      <c r="T49" s="16"/>
      <c r="U49" s="16"/>
      <c r="V49" s="16"/>
      <c r="W49" s="16"/>
      <c r="X49" s="16"/>
      <c r="Y49" s="16"/>
    </row>
    <row r="50" ht="15.75" customHeight="1">
      <c r="A50" s="16" t="s">
        <v>109</v>
      </c>
      <c r="B50" s="16" t="s">
        <v>110</v>
      </c>
      <c r="C50" s="16" t="s">
        <v>197</v>
      </c>
      <c r="D50" s="16" t="s">
        <v>263</v>
      </c>
      <c r="E50" s="23">
        <f t="shared" si="1"/>
        <v>2.166666667</v>
      </c>
      <c r="F50" s="16">
        <f>VLOOKUP(A50,Oonasfriend2!A:C,3,FALSE)</f>
        <v>1</v>
      </c>
      <c r="G50" s="16">
        <f>VLOOKUP(A50,Oonasfriend1!A:C,3,FALSE)</f>
        <v>1</v>
      </c>
      <c r="H50" s="16">
        <f>VLOOKUP(A50,Oona!A:C,3,FALSE)</f>
        <v>1</v>
      </c>
      <c r="I50" s="16">
        <f>VLOOKUP(A50,Ona!A:C,3,FALSE)</f>
        <v>3</v>
      </c>
      <c r="J50" s="16">
        <f>VLOOKUP(A50,Yuxin!A:C,3,FALSE)</f>
        <v>3</v>
      </c>
      <c r="K50" s="16">
        <f>VLOOKUP(A50,Linyao!A:C,3,FALSE)</f>
        <v>4</v>
      </c>
      <c r="L50" s="23">
        <f t="shared" si="2"/>
        <v>3.666666667</v>
      </c>
      <c r="M50" s="16">
        <f>VLOOKUP(A50,Oonasfriend2!A:D,4,FALSE)</f>
        <v>3</v>
      </c>
      <c r="N50" s="16">
        <f>VLOOKUP(A50,Oonasfriend1!A:D,4,FALSE)</f>
        <v>2</v>
      </c>
      <c r="O50" s="16">
        <f>VLOOKUP(A50,Oona!A:D,4,FALSE)</f>
        <v>5</v>
      </c>
      <c r="P50" s="16">
        <f>VLOOKUP(A50,Ona!A:D,4,FALSE)</f>
        <v>5</v>
      </c>
      <c r="Q50" s="16">
        <f>VLOOKUP(A50,Yuxin!A:D,4,FALSE)</f>
        <v>2</v>
      </c>
      <c r="R50" s="16">
        <f>VLOOKUP(A50,Linyao!A:D,4,FALSE)</f>
        <v>5</v>
      </c>
      <c r="S50" s="16"/>
      <c r="T50" s="16"/>
      <c r="U50" s="16"/>
      <c r="V50" s="16"/>
      <c r="W50" s="16"/>
      <c r="X50" s="16"/>
      <c r="Y50" s="16"/>
    </row>
    <row r="51" ht="15.75" customHeight="1">
      <c r="A51" s="16" t="s">
        <v>219</v>
      </c>
      <c r="B51" s="16" t="s">
        <v>111</v>
      </c>
      <c r="C51" s="16" t="s">
        <v>193</v>
      </c>
      <c r="D51" s="16" t="s">
        <v>264</v>
      </c>
      <c r="E51" s="23">
        <f t="shared" si="1"/>
        <v>2.833333333</v>
      </c>
      <c r="F51" s="16">
        <f>VLOOKUP(A51,Oonasfriend2!A:C,3,FALSE)</f>
        <v>2</v>
      </c>
      <c r="G51" s="16">
        <f>VLOOKUP(A51,Oonasfriend1!A:C,3,FALSE)</f>
        <v>3</v>
      </c>
      <c r="H51" s="16">
        <f>VLOOKUP(A51,Oona!A:C,3,FALSE)</f>
        <v>1</v>
      </c>
      <c r="I51" s="16">
        <f>VLOOKUP(A51,Ona!A:C,3,FALSE)</f>
        <v>3</v>
      </c>
      <c r="J51" s="16">
        <f>VLOOKUP(A51,Yuxin!A:C,3,FALSE)</f>
        <v>3</v>
      </c>
      <c r="K51" s="16">
        <f>VLOOKUP(A51,Linyao!A:C,3,FALSE)</f>
        <v>5</v>
      </c>
      <c r="L51" s="23">
        <f t="shared" si="2"/>
        <v>3.666666667</v>
      </c>
      <c r="M51" s="16">
        <f>VLOOKUP(A51,Oonasfriend2!A:D,4,FALSE)</f>
        <v>5</v>
      </c>
      <c r="N51" s="16">
        <f>VLOOKUP(A51,Oonasfriend1!A:D,4,FALSE)</f>
        <v>4</v>
      </c>
      <c r="O51" s="16">
        <f>VLOOKUP(A51,Oona!A:D,4,FALSE)</f>
        <v>1</v>
      </c>
      <c r="P51" s="16">
        <f>VLOOKUP(A51,Ona!A:D,4,FALSE)</f>
        <v>4</v>
      </c>
      <c r="Q51" s="16">
        <f>VLOOKUP(A51,Yuxin!A:D,4,FALSE)</f>
        <v>3</v>
      </c>
      <c r="R51" s="16">
        <f>VLOOKUP(A51,Linyao!A:D,4,FALSE)</f>
        <v>5</v>
      </c>
      <c r="S51" s="16"/>
      <c r="T51" s="16"/>
      <c r="U51" s="16"/>
      <c r="V51" s="16"/>
      <c r="W51" s="16"/>
      <c r="X51" s="16"/>
      <c r="Y51" s="16"/>
    </row>
    <row r="52" ht="15.75" customHeight="1">
      <c r="A52" s="16" t="s">
        <v>107</v>
      </c>
      <c r="B52" s="16" t="s">
        <v>112</v>
      </c>
      <c r="C52" s="16" t="s">
        <v>197</v>
      </c>
      <c r="D52" s="16" t="s">
        <v>265</v>
      </c>
      <c r="E52" s="23">
        <f t="shared" si="1"/>
        <v>1.5</v>
      </c>
      <c r="F52" s="16">
        <f>VLOOKUP(A52,Oonasfriend2!A:C,3,FALSE)</f>
        <v>2</v>
      </c>
      <c r="G52" s="16">
        <f>VLOOKUP(A52,Oonasfriend1!A:C,3,FALSE)</f>
        <v>2</v>
      </c>
      <c r="H52" s="16">
        <f>VLOOKUP(A52,Oona!A:C,3,FALSE)</f>
        <v>1</v>
      </c>
      <c r="I52" s="16">
        <f>VLOOKUP(A52,Ona!A:C,3,FALSE)</f>
        <v>1</v>
      </c>
      <c r="J52" s="16">
        <f>VLOOKUP(A52,Yuxin!A:C,3,FALSE)</f>
        <v>2</v>
      </c>
      <c r="K52" s="16">
        <f>VLOOKUP(A52,Linyao!A:C,3,FALSE)</f>
        <v>1</v>
      </c>
      <c r="L52" s="23">
        <f t="shared" si="2"/>
        <v>1</v>
      </c>
      <c r="M52" s="16">
        <f>VLOOKUP(A52,Oonasfriend2!A:D,4,FALSE)</f>
        <v>1</v>
      </c>
      <c r="N52" s="16">
        <f>VLOOKUP(A52,Oonasfriend1!A:D,4,FALSE)</f>
        <v>1</v>
      </c>
      <c r="O52" s="16">
        <f>VLOOKUP(A52,Oona!A:D,4,FALSE)</f>
        <v>1</v>
      </c>
      <c r="P52" s="16">
        <f>VLOOKUP(A52,Ona!A:D,4,FALSE)</f>
        <v>1</v>
      </c>
      <c r="Q52" s="16">
        <f>VLOOKUP(A52,Yuxin!A:D,4,FALSE)</f>
        <v>1</v>
      </c>
      <c r="R52" s="16">
        <f>VLOOKUP(A52,Linyao!A:D,4,FALSE)</f>
        <v>1</v>
      </c>
      <c r="S52" s="16"/>
      <c r="T52" s="16"/>
      <c r="U52" s="16"/>
      <c r="V52" s="16"/>
      <c r="W52" s="16"/>
      <c r="X52" s="16"/>
      <c r="Y52" s="16"/>
    </row>
    <row r="53" ht="15.75" customHeight="1">
      <c r="A53" s="16" t="s">
        <v>266</v>
      </c>
      <c r="B53" s="16" t="s">
        <v>114</v>
      </c>
      <c r="C53" s="16" t="s">
        <v>193</v>
      </c>
      <c r="D53" s="16" t="s">
        <v>267</v>
      </c>
      <c r="E53" s="23">
        <f t="shared" si="1"/>
        <v>2.333333333</v>
      </c>
      <c r="F53" s="16">
        <f>VLOOKUP(A53,Oonasfriend2!A:C,3,FALSE)</f>
        <v>3</v>
      </c>
      <c r="G53" s="16">
        <f>VLOOKUP(A53,Oonasfriend1!A:C,3,FALSE)</f>
        <v>1</v>
      </c>
      <c r="H53" s="16">
        <f>VLOOKUP(A53,Oona!A:C,3,FALSE)</f>
        <v>1</v>
      </c>
      <c r="I53" s="16">
        <f>VLOOKUP(A53,Ona!A:C,3,FALSE)</f>
        <v>2</v>
      </c>
      <c r="J53" s="16">
        <f>VLOOKUP(A53,Yuxin!A:C,3,FALSE)</f>
        <v>2</v>
      </c>
      <c r="K53" s="16">
        <f>VLOOKUP(A53,Linyao!A:C,3,FALSE)</f>
        <v>5</v>
      </c>
      <c r="L53" s="23">
        <f t="shared" si="2"/>
        <v>1.166666667</v>
      </c>
      <c r="M53" s="16">
        <f>VLOOKUP(A53,Oonasfriend2!A:D,4,FALSE)</f>
        <v>1</v>
      </c>
      <c r="N53" s="16">
        <f>VLOOKUP(A53,Oonasfriend1!A:D,4,FALSE)</f>
        <v>2</v>
      </c>
      <c r="O53" s="16">
        <f>VLOOKUP(A53,Oona!A:D,4,FALSE)</f>
        <v>1</v>
      </c>
      <c r="P53" s="16">
        <f>VLOOKUP(A53,Ona!A:D,4,FALSE)</f>
        <v>1</v>
      </c>
      <c r="Q53" s="16">
        <f>VLOOKUP(A53,Yuxin!A:D,4,FALSE)</f>
        <v>1</v>
      </c>
      <c r="R53" s="16">
        <f>VLOOKUP(A53,Linyao!A:D,4,FALSE)</f>
        <v>1</v>
      </c>
      <c r="S53" s="16"/>
      <c r="T53" s="16"/>
      <c r="U53" s="16"/>
      <c r="V53" s="16"/>
      <c r="W53" s="16"/>
      <c r="X53" s="16"/>
      <c r="Y53" s="16"/>
    </row>
    <row r="54" ht="15.75" customHeight="1">
      <c r="A54" s="16" t="s">
        <v>252</v>
      </c>
      <c r="B54" s="16" t="s">
        <v>115</v>
      </c>
      <c r="C54" s="16" t="s">
        <v>193</v>
      </c>
      <c r="D54" s="16" t="s">
        <v>268</v>
      </c>
      <c r="E54" s="23">
        <f t="shared" si="1"/>
        <v>1.666666667</v>
      </c>
      <c r="F54" s="16">
        <f>VLOOKUP(A54,Oonasfriend2!A:C,3,FALSE)</f>
        <v>1</v>
      </c>
      <c r="G54" s="16">
        <f>VLOOKUP(A54,Oonasfriend1!A:C,3,FALSE)</f>
        <v>5</v>
      </c>
      <c r="H54" s="16">
        <f>VLOOKUP(A54,Oona!A:C,3,FALSE)</f>
        <v>1</v>
      </c>
      <c r="I54" s="16">
        <f>VLOOKUP(A54,Ona!A:C,3,FALSE)</f>
        <v>1</v>
      </c>
      <c r="J54" s="16">
        <f>VLOOKUP(A54,Yuxin!A:C,3,FALSE)</f>
        <v>1</v>
      </c>
      <c r="K54" s="16">
        <f>VLOOKUP(A54,Linyao!A:C,3,FALSE)</f>
        <v>1</v>
      </c>
      <c r="L54" s="23">
        <f t="shared" si="2"/>
        <v>3.666666667</v>
      </c>
      <c r="M54" s="16">
        <f>VLOOKUP(A54,Oonasfriend2!A:D,4,FALSE)</f>
        <v>3</v>
      </c>
      <c r="N54" s="16">
        <f>VLOOKUP(A54,Oonasfriend1!A:D,4,FALSE)</f>
        <v>5</v>
      </c>
      <c r="O54" s="16">
        <f>VLOOKUP(A54,Oona!A:D,4,FALSE)</f>
        <v>3</v>
      </c>
      <c r="P54" s="16">
        <f>VLOOKUP(A54,Ona!A:D,4,FALSE)</f>
        <v>4</v>
      </c>
      <c r="Q54" s="16">
        <f>VLOOKUP(A54,Yuxin!A:D,4,FALSE)</f>
        <v>4</v>
      </c>
      <c r="R54" s="16">
        <f>VLOOKUP(A54,Linyao!A:D,4,FALSE)</f>
        <v>3</v>
      </c>
      <c r="S54" s="16"/>
      <c r="T54" s="16"/>
      <c r="U54" s="16"/>
      <c r="V54" s="16"/>
      <c r="W54" s="16"/>
      <c r="X54" s="16"/>
      <c r="Y54" s="16"/>
    </row>
    <row r="55" ht="15.75" customHeight="1">
      <c r="A55" s="16" t="s">
        <v>31</v>
      </c>
      <c r="B55" s="16" t="s">
        <v>116</v>
      </c>
      <c r="C55" s="16" t="s">
        <v>197</v>
      </c>
      <c r="D55" s="16" t="s">
        <v>269</v>
      </c>
      <c r="E55" s="23">
        <f t="shared" si="1"/>
        <v>2.833333333</v>
      </c>
      <c r="F55" s="16">
        <f>VLOOKUP(A55,Oonasfriend2!A:C,3,FALSE)</f>
        <v>2</v>
      </c>
      <c r="G55" s="16">
        <f>VLOOKUP(A55,Oonasfriend1!A:C,3,FALSE)</f>
        <v>4</v>
      </c>
      <c r="H55" s="16">
        <f>VLOOKUP(A55,Oona!A:C,3,FALSE)</f>
        <v>2</v>
      </c>
      <c r="I55" s="16">
        <f>VLOOKUP(A55,Ona!A:C,3,FALSE)</f>
        <v>4</v>
      </c>
      <c r="J55" s="16">
        <f>VLOOKUP(A55,Yuxin!A:C,3,FALSE)</f>
        <v>4</v>
      </c>
      <c r="K55" s="16">
        <f>VLOOKUP(A55,Linyao!A:C,3,FALSE)</f>
        <v>1</v>
      </c>
      <c r="L55" s="23">
        <f t="shared" si="2"/>
        <v>4</v>
      </c>
      <c r="M55" s="16">
        <f>VLOOKUP(A55,Oonasfriend2!A:D,4,FALSE)</f>
        <v>5</v>
      </c>
      <c r="N55" s="16">
        <f>VLOOKUP(A55,Oonasfriend1!A:D,4,FALSE)</f>
        <v>2</v>
      </c>
      <c r="O55" s="16">
        <f>VLOOKUP(A55,Oona!A:D,4,FALSE)</f>
        <v>3</v>
      </c>
      <c r="P55" s="16">
        <f>VLOOKUP(A55,Ona!A:D,4,FALSE)</f>
        <v>5</v>
      </c>
      <c r="Q55" s="16">
        <f>VLOOKUP(A55,Yuxin!A:D,4,FALSE)</f>
        <v>4</v>
      </c>
      <c r="R55" s="16">
        <f>VLOOKUP(A55,Linyao!A:D,4,FALSE)</f>
        <v>5</v>
      </c>
      <c r="S55" s="16"/>
      <c r="T55" s="16"/>
      <c r="U55" s="16"/>
      <c r="V55" s="16"/>
      <c r="W55" s="16"/>
      <c r="X55" s="16"/>
      <c r="Y55" s="16"/>
    </row>
    <row r="56" ht="15.75" customHeight="1">
      <c r="A56" s="16" t="s">
        <v>235</v>
      </c>
      <c r="B56" s="16" t="s">
        <v>117</v>
      </c>
      <c r="C56" s="16" t="s">
        <v>197</v>
      </c>
      <c r="D56" s="16" t="s">
        <v>270</v>
      </c>
      <c r="E56" s="23">
        <f t="shared" si="1"/>
        <v>2.833333333</v>
      </c>
      <c r="F56" s="16">
        <f>VLOOKUP(A56,Oonasfriend2!A:C,3,FALSE)</f>
        <v>1</v>
      </c>
      <c r="G56" s="16">
        <f>VLOOKUP(A56,Oonasfriend1!A:C,3,FALSE)</f>
        <v>3</v>
      </c>
      <c r="H56" s="16">
        <f>VLOOKUP(A56,Oona!A:C,3,FALSE)</f>
        <v>3</v>
      </c>
      <c r="I56" s="16">
        <f>VLOOKUP(A56,Ona!A:C,3,FALSE)</f>
        <v>4</v>
      </c>
      <c r="J56" s="16">
        <f>VLOOKUP(A56,Yuxin!A:C,3,FALSE)</f>
        <v>2</v>
      </c>
      <c r="K56" s="16">
        <f>VLOOKUP(A56,Linyao!A:C,3,FALSE)</f>
        <v>4</v>
      </c>
      <c r="L56" s="23">
        <f t="shared" si="2"/>
        <v>2.166666667</v>
      </c>
      <c r="M56" s="16">
        <f>VLOOKUP(A56,Oonasfriend2!A:D,4,FALSE)</f>
        <v>2</v>
      </c>
      <c r="N56" s="16">
        <f>VLOOKUP(A56,Oonasfriend1!A:D,4,FALSE)</f>
        <v>2</v>
      </c>
      <c r="O56" s="16">
        <f>VLOOKUP(A56,Oona!A:D,4,FALSE)</f>
        <v>2</v>
      </c>
      <c r="P56" s="16">
        <f>VLOOKUP(A56,Ona!A:D,4,FALSE)</f>
        <v>3</v>
      </c>
      <c r="Q56" s="16">
        <f>VLOOKUP(A56,Yuxin!A:D,4,FALSE)</f>
        <v>2</v>
      </c>
      <c r="R56" s="16">
        <f>VLOOKUP(A56,Linyao!A:D,4,FALSE)</f>
        <v>2</v>
      </c>
      <c r="S56" s="16"/>
      <c r="T56" s="16"/>
      <c r="U56" s="16"/>
      <c r="V56" s="16"/>
      <c r="W56" s="16"/>
      <c r="X56" s="16"/>
      <c r="Y56" s="16"/>
    </row>
    <row r="57" ht="15.75" customHeight="1">
      <c r="A57" s="16" t="s">
        <v>271</v>
      </c>
      <c r="B57" s="16" t="s">
        <v>119</v>
      </c>
      <c r="C57" s="16" t="s">
        <v>197</v>
      </c>
      <c r="D57" s="16" t="s">
        <v>272</v>
      </c>
      <c r="E57" s="23">
        <f t="shared" si="1"/>
        <v>1.833333333</v>
      </c>
      <c r="F57" s="16">
        <f>VLOOKUP(A57,Oonasfriend2!A:C,3,FALSE)</f>
        <v>1</v>
      </c>
      <c r="G57" s="16">
        <f>VLOOKUP(A57,Oonasfriend1!A:C,3,FALSE)</f>
        <v>2</v>
      </c>
      <c r="H57" s="16">
        <f>VLOOKUP(A57,Oona!A:C,3,FALSE)</f>
        <v>2</v>
      </c>
      <c r="I57" s="16">
        <f>VLOOKUP(A57,Ona!A:C,3,FALSE)</f>
        <v>3</v>
      </c>
      <c r="J57" s="16">
        <f>VLOOKUP(A57,Yuxin!A:C,3,FALSE)</f>
        <v>2</v>
      </c>
      <c r="K57" s="16">
        <f>VLOOKUP(A57,Linyao!A:C,3,FALSE)</f>
        <v>1</v>
      </c>
      <c r="L57" s="23">
        <f t="shared" si="2"/>
        <v>4.666666667</v>
      </c>
      <c r="M57" s="16">
        <f>VLOOKUP(A57,Oonasfriend2!A:D,4,FALSE)</f>
        <v>5</v>
      </c>
      <c r="N57" s="16">
        <f>VLOOKUP(A57,Oonasfriend1!A:D,4,FALSE)</f>
        <v>5</v>
      </c>
      <c r="O57" s="16">
        <f>VLOOKUP(A57,Oona!A:D,4,FALSE)</f>
        <v>5</v>
      </c>
      <c r="P57" s="16">
        <f>VLOOKUP(A57,Ona!A:D,4,FALSE)</f>
        <v>5</v>
      </c>
      <c r="Q57" s="16">
        <f>VLOOKUP(A57,Yuxin!A:D,4,FALSE)</f>
        <v>3</v>
      </c>
      <c r="R57" s="16">
        <f>VLOOKUP(A57,Linyao!A:D,4,FALSE)</f>
        <v>5</v>
      </c>
      <c r="S57" s="16"/>
      <c r="T57" s="16"/>
      <c r="U57" s="16"/>
      <c r="V57" s="16"/>
      <c r="W57" s="16"/>
      <c r="X57" s="16"/>
      <c r="Y57" s="16"/>
    </row>
    <row r="58" ht="15.75" customHeight="1">
      <c r="A58" s="16" t="s">
        <v>100</v>
      </c>
      <c r="B58" s="16" t="s">
        <v>120</v>
      </c>
      <c r="C58" s="16" t="s">
        <v>197</v>
      </c>
      <c r="D58" s="16" t="s">
        <v>273</v>
      </c>
      <c r="E58" s="23">
        <f t="shared" si="1"/>
        <v>2.166666667</v>
      </c>
      <c r="F58" s="16">
        <f>VLOOKUP(A58,Oonasfriend2!A:C,3,FALSE)</f>
        <v>1</v>
      </c>
      <c r="G58" s="16">
        <f>VLOOKUP(A58,Oonasfriend1!A:C,3,FALSE)</f>
        <v>2</v>
      </c>
      <c r="H58" s="16">
        <f>VLOOKUP(A58,Oona!A:C,3,FALSE)</f>
        <v>1</v>
      </c>
      <c r="I58" s="16">
        <f>VLOOKUP(A58,Ona!A:C,3,FALSE)</f>
        <v>4</v>
      </c>
      <c r="J58" s="16">
        <f>VLOOKUP(A58,Yuxin!A:C,3,FALSE)</f>
        <v>2</v>
      </c>
      <c r="K58" s="16">
        <f>VLOOKUP(A58,Linyao!A:C,3,FALSE)</f>
        <v>3</v>
      </c>
      <c r="L58" s="23">
        <f t="shared" si="2"/>
        <v>1.166666667</v>
      </c>
      <c r="M58" s="16">
        <f>VLOOKUP(A58,Oonasfriend2!A:D,4,FALSE)</f>
        <v>1</v>
      </c>
      <c r="N58" s="16">
        <f>VLOOKUP(A58,Oonasfriend1!A:D,4,FALSE)</f>
        <v>1</v>
      </c>
      <c r="O58" s="16">
        <f>VLOOKUP(A58,Oona!A:D,4,FALSE)</f>
        <v>1</v>
      </c>
      <c r="P58" s="16">
        <f>VLOOKUP(A58,Ona!A:D,4,FALSE)</f>
        <v>1</v>
      </c>
      <c r="Q58" s="16">
        <f>VLOOKUP(A58,Yuxin!A:D,4,FALSE)</f>
        <v>2</v>
      </c>
      <c r="R58" s="16">
        <f>VLOOKUP(A58,Linyao!A:D,4,FALSE)</f>
        <v>1</v>
      </c>
      <c r="S58" s="16"/>
      <c r="T58" s="16"/>
      <c r="U58" s="16"/>
      <c r="V58" s="16"/>
      <c r="W58" s="16"/>
      <c r="X58" s="16"/>
      <c r="Y58" s="16"/>
    </row>
    <row r="59" ht="15.75" customHeight="1">
      <c r="A59" s="16" t="s">
        <v>248</v>
      </c>
      <c r="B59" s="16" t="s">
        <v>121</v>
      </c>
      <c r="C59" s="16" t="s">
        <v>197</v>
      </c>
      <c r="D59" s="16" t="s">
        <v>274</v>
      </c>
      <c r="E59" s="23">
        <f t="shared" si="1"/>
        <v>2</v>
      </c>
      <c r="F59" s="16">
        <f>VLOOKUP(A59,Oonasfriend2!A:C,3,FALSE)</f>
        <v>1</v>
      </c>
      <c r="G59" s="16">
        <f>VLOOKUP(A59,Oonasfriend1!A:C,3,FALSE)</f>
        <v>3</v>
      </c>
      <c r="H59" s="16">
        <f>VLOOKUP(A59,Oona!A:C,3,FALSE)</f>
        <v>2</v>
      </c>
      <c r="I59" s="16">
        <f>VLOOKUP(A59,Ona!A:C,3,FALSE)</f>
        <v>2</v>
      </c>
      <c r="J59" s="16">
        <f>VLOOKUP(A59,Yuxin!A:C,3,FALSE)</f>
        <v>2</v>
      </c>
      <c r="K59" s="16">
        <f>VLOOKUP(A59,Linyao!A:C,3,FALSE)</f>
        <v>2</v>
      </c>
      <c r="L59" s="23">
        <f t="shared" si="2"/>
        <v>4.166666667</v>
      </c>
      <c r="M59" s="16">
        <f>VLOOKUP(A59,Oonasfriend2!A:D,4,FALSE)</f>
        <v>5</v>
      </c>
      <c r="N59" s="16">
        <f>VLOOKUP(A59,Oonasfriend1!A:D,4,FALSE)</f>
        <v>4</v>
      </c>
      <c r="O59" s="16">
        <f>VLOOKUP(A59,Oona!A:D,4,FALSE)</f>
        <v>3</v>
      </c>
      <c r="P59" s="16">
        <f>VLOOKUP(A59,Ona!A:D,4,FALSE)</f>
        <v>4</v>
      </c>
      <c r="Q59" s="16">
        <f>VLOOKUP(A59,Yuxin!A:D,4,FALSE)</f>
        <v>4</v>
      </c>
      <c r="R59" s="16">
        <f>VLOOKUP(A59,Linyao!A:D,4,FALSE)</f>
        <v>5</v>
      </c>
      <c r="S59" s="16"/>
      <c r="T59" s="16"/>
      <c r="U59" s="16"/>
      <c r="V59" s="16"/>
      <c r="W59" s="16"/>
      <c r="X59" s="16"/>
      <c r="Y59" s="16"/>
    </row>
    <row r="60" ht="15.75" customHeight="1">
      <c r="A60" s="16" t="s">
        <v>275</v>
      </c>
      <c r="B60" s="16" t="s">
        <v>123</v>
      </c>
      <c r="C60" s="16" t="s">
        <v>197</v>
      </c>
      <c r="D60" s="16" t="s">
        <v>276</v>
      </c>
      <c r="E60" s="23">
        <f t="shared" si="1"/>
        <v>2.833333333</v>
      </c>
      <c r="F60" s="16">
        <f>VLOOKUP(A60,Oonasfriend2!A:C,3,FALSE)</f>
        <v>2</v>
      </c>
      <c r="G60" s="16">
        <f>VLOOKUP(A60,Oonasfriend1!A:C,3,FALSE)</f>
        <v>4</v>
      </c>
      <c r="H60" s="16">
        <f>VLOOKUP(A60,Oona!A:C,3,FALSE)</f>
        <v>1</v>
      </c>
      <c r="I60" s="16">
        <f>VLOOKUP(A60,Ona!A:C,3,FALSE)</f>
        <v>3</v>
      </c>
      <c r="J60" s="16">
        <f>VLOOKUP(A60,Yuxin!A:C,3,FALSE)</f>
        <v>3</v>
      </c>
      <c r="K60" s="16">
        <f>VLOOKUP(A60,Linyao!A:C,3,FALSE)</f>
        <v>4</v>
      </c>
      <c r="L60" s="23">
        <f t="shared" si="2"/>
        <v>4.166666667</v>
      </c>
      <c r="M60" s="16">
        <f>VLOOKUP(A60,Oonasfriend2!A:D,4,FALSE)</f>
        <v>5</v>
      </c>
      <c r="N60" s="16">
        <f>VLOOKUP(A60,Oonasfriend1!A:D,4,FALSE)</f>
        <v>3</v>
      </c>
      <c r="O60" s="16">
        <f>VLOOKUP(A60,Oona!A:D,4,FALSE)</f>
        <v>5</v>
      </c>
      <c r="P60" s="16">
        <f>VLOOKUP(A60,Ona!A:D,4,FALSE)</f>
        <v>5</v>
      </c>
      <c r="Q60" s="16">
        <f>VLOOKUP(A60,Yuxin!A:D,4,FALSE)</f>
        <v>3</v>
      </c>
      <c r="R60" s="16">
        <f>VLOOKUP(A60,Linyao!A:D,4,FALSE)</f>
        <v>4</v>
      </c>
      <c r="S60" s="16"/>
      <c r="T60" s="16"/>
      <c r="U60" s="16"/>
      <c r="V60" s="16"/>
      <c r="W60" s="16"/>
      <c r="X60" s="16"/>
      <c r="Y60" s="16"/>
    </row>
    <row r="61" ht="15.75" customHeight="1">
      <c r="A61" s="16" t="s">
        <v>223</v>
      </c>
      <c r="B61" s="16" t="s">
        <v>124</v>
      </c>
      <c r="C61" s="16" t="s">
        <v>193</v>
      </c>
      <c r="D61" s="16" t="s">
        <v>277</v>
      </c>
      <c r="E61" s="23">
        <f t="shared" si="1"/>
        <v>2.5</v>
      </c>
      <c r="F61" s="16">
        <f>VLOOKUP(A61,Oonasfriend2!A:C,3,FALSE)</f>
        <v>2</v>
      </c>
      <c r="G61" s="16">
        <f>VLOOKUP(A61,Oonasfriend1!A:C,3,FALSE)</f>
        <v>2</v>
      </c>
      <c r="H61" s="16">
        <f>VLOOKUP(A61,Oona!A:C,3,FALSE)</f>
        <v>3</v>
      </c>
      <c r="I61" s="16">
        <f>VLOOKUP(A61,Ona!A:C,3,FALSE)</f>
        <v>2</v>
      </c>
      <c r="J61" s="16">
        <f>VLOOKUP(A61,Yuxin!A:C,3,FALSE)</f>
        <v>4</v>
      </c>
      <c r="K61" s="16">
        <f>VLOOKUP(A61,Linyao!A:C,3,FALSE)</f>
        <v>2</v>
      </c>
      <c r="L61" s="23">
        <f t="shared" si="2"/>
        <v>4.666666667</v>
      </c>
      <c r="M61" s="16">
        <f>VLOOKUP(A61,Oonasfriend2!A:D,4,FALSE)</f>
        <v>5</v>
      </c>
      <c r="N61" s="16">
        <f>VLOOKUP(A61,Oonasfriend1!A:D,4,FALSE)</f>
        <v>5</v>
      </c>
      <c r="O61" s="16">
        <f>VLOOKUP(A61,Oona!A:D,4,FALSE)</f>
        <v>4</v>
      </c>
      <c r="P61" s="16">
        <f>VLOOKUP(A61,Ona!A:D,4,FALSE)</f>
        <v>5</v>
      </c>
      <c r="Q61" s="16">
        <f>VLOOKUP(A61,Yuxin!A:D,4,FALSE)</f>
        <v>4</v>
      </c>
      <c r="R61" s="16">
        <f>VLOOKUP(A61,Linyao!A:D,4,FALSE)</f>
        <v>5</v>
      </c>
      <c r="S61" s="16"/>
      <c r="T61" s="16"/>
      <c r="U61" s="16"/>
      <c r="V61" s="16"/>
      <c r="W61" s="16"/>
      <c r="X61" s="16"/>
      <c r="Y61" s="16"/>
    </row>
    <row r="62" ht="15.75" customHeight="1">
      <c r="A62" s="16" t="s">
        <v>125</v>
      </c>
      <c r="B62" s="16" t="s">
        <v>126</v>
      </c>
      <c r="C62" s="16" t="s">
        <v>197</v>
      </c>
      <c r="D62" s="16" t="s">
        <v>278</v>
      </c>
      <c r="E62" s="23">
        <f t="shared" si="1"/>
        <v>1.333333333</v>
      </c>
      <c r="F62" s="16">
        <f>VLOOKUP(A62,Oonasfriend2!A:C,3,FALSE)</f>
        <v>1</v>
      </c>
      <c r="G62" s="16">
        <f>VLOOKUP(A62,Oonasfriend1!A:C,3,FALSE)</f>
        <v>2</v>
      </c>
      <c r="H62" s="16">
        <f>VLOOKUP(A62,Oona!A:C,3,FALSE)</f>
        <v>1</v>
      </c>
      <c r="I62" s="16">
        <f>VLOOKUP(A62,Ona!A:C,3,FALSE)</f>
        <v>1</v>
      </c>
      <c r="J62" s="16">
        <f>VLOOKUP(A62,Yuxin!A:C,3,FALSE)</f>
        <v>2</v>
      </c>
      <c r="K62" s="16">
        <f>VLOOKUP(A62,Linyao!A:C,3,FALSE)</f>
        <v>1</v>
      </c>
      <c r="L62" s="23">
        <f t="shared" si="2"/>
        <v>3.833333333</v>
      </c>
      <c r="M62" s="16">
        <f>VLOOKUP(A62,Oonasfriend2!A:D,4,FALSE)</f>
        <v>4</v>
      </c>
      <c r="N62" s="16">
        <f>VLOOKUP(A62,Oonasfriend1!A:D,4,FALSE)</f>
        <v>4</v>
      </c>
      <c r="O62" s="16">
        <f>VLOOKUP(A62,Oona!A:D,4,FALSE)</f>
        <v>5</v>
      </c>
      <c r="P62" s="16">
        <f>VLOOKUP(A62,Ona!A:D,4,FALSE)</f>
        <v>5</v>
      </c>
      <c r="Q62" s="16">
        <f>VLOOKUP(A62,Yuxin!A:D,4,FALSE)</f>
        <v>2</v>
      </c>
      <c r="R62" s="16">
        <f>VLOOKUP(A62,Linyao!A:D,4,FALSE)</f>
        <v>3</v>
      </c>
      <c r="S62" s="16"/>
      <c r="T62" s="16"/>
      <c r="U62" s="16"/>
      <c r="V62" s="16"/>
      <c r="W62" s="16"/>
      <c r="X62" s="16"/>
      <c r="Y62" s="16"/>
    </row>
    <row r="63" ht="15.75" customHeight="1">
      <c r="A63" s="16" t="s">
        <v>127</v>
      </c>
      <c r="B63" s="16" t="s">
        <v>128</v>
      </c>
      <c r="C63" s="16" t="s">
        <v>193</v>
      </c>
      <c r="D63" s="16" t="s">
        <v>279</v>
      </c>
      <c r="E63" s="23">
        <f t="shared" si="1"/>
        <v>2.333333333</v>
      </c>
      <c r="F63" s="16">
        <f>VLOOKUP(A63,Oonasfriend2!A:C,3,FALSE)</f>
        <v>1</v>
      </c>
      <c r="G63" s="16">
        <f>VLOOKUP(A63,Oonasfriend1!A:C,3,FALSE)</f>
        <v>3</v>
      </c>
      <c r="H63" s="16">
        <f>VLOOKUP(A63,Oona!A:C,3,FALSE)</f>
        <v>2</v>
      </c>
      <c r="I63" s="16">
        <f>VLOOKUP(A63,Ona!A:C,3,FALSE)</f>
        <v>2</v>
      </c>
      <c r="J63" s="16">
        <f>VLOOKUP(A63,Yuxin!A:C,3,FALSE)</f>
        <v>3</v>
      </c>
      <c r="K63" s="16">
        <f>VLOOKUP(A63,Linyao!A:C,3,FALSE)</f>
        <v>3</v>
      </c>
      <c r="L63" s="23">
        <f t="shared" si="2"/>
        <v>1.333333333</v>
      </c>
      <c r="M63" s="16">
        <f>VLOOKUP(A63,Oonasfriend2!A:D,4,FALSE)</f>
        <v>1</v>
      </c>
      <c r="N63" s="16">
        <f>VLOOKUP(A63,Oonasfriend1!A:D,4,FALSE)</f>
        <v>1</v>
      </c>
      <c r="O63" s="16">
        <f>VLOOKUP(A63,Oona!A:D,4,FALSE)</f>
        <v>1</v>
      </c>
      <c r="P63" s="16">
        <f>VLOOKUP(A63,Ona!A:D,4,FALSE)</f>
        <v>1</v>
      </c>
      <c r="Q63" s="16">
        <f>VLOOKUP(A63,Yuxin!A:D,4,FALSE)</f>
        <v>1</v>
      </c>
      <c r="R63" s="16">
        <f>VLOOKUP(A63,Linyao!A:D,4,FALSE)</f>
        <v>3</v>
      </c>
      <c r="S63" s="16"/>
      <c r="T63" s="16"/>
      <c r="U63" s="16"/>
      <c r="V63" s="16"/>
      <c r="W63" s="16"/>
      <c r="X63" s="16"/>
      <c r="Y63" s="16"/>
    </row>
    <row r="64" ht="15.75" customHeight="1">
      <c r="A64" s="16" t="s">
        <v>60</v>
      </c>
      <c r="B64" s="16" t="s">
        <v>129</v>
      </c>
      <c r="C64" s="16" t="s">
        <v>197</v>
      </c>
      <c r="D64" s="16" t="s">
        <v>280</v>
      </c>
      <c r="E64" s="23">
        <f t="shared" si="1"/>
        <v>2</v>
      </c>
      <c r="F64" s="16">
        <f>VLOOKUP(A64,Oonasfriend2!A:C,3,FALSE)</f>
        <v>1</v>
      </c>
      <c r="G64" s="16">
        <f>VLOOKUP(A64,Oonasfriend1!A:C,3,FALSE)</f>
        <v>2</v>
      </c>
      <c r="H64" s="16">
        <f>VLOOKUP(A64,Oona!A:C,3,FALSE)</f>
        <v>2</v>
      </c>
      <c r="I64" s="16">
        <f>VLOOKUP(A64,Ona!A:C,3,FALSE)</f>
        <v>2</v>
      </c>
      <c r="J64" s="16">
        <f>VLOOKUP(A64,Yuxin!A:C,3,FALSE)</f>
        <v>3</v>
      </c>
      <c r="K64" s="16">
        <f>VLOOKUP(A64,Linyao!A:C,3,FALSE)</f>
        <v>2</v>
      </c>
      <c r="L64" s="23">
        <f t="shared" si="2"/>
        <v>1.166666667</v>
      </c>
      <c r="M64" s="16">
        <f>VLOOKUP(A64,Oonasfriend2!A:D,4,FALSE)</f>
        <v>1</v>
      </c>
      <c r="N64" s="16">
        <f>VLOOKUP(A64,Oonasfriend1!A:D,4,FALSE)</f>
        <v>1</v>
      </c>
      <c r="O64" s="16">
        <f>VLOOKUP(A64,Oona!A:D,4,FALSE)</f>
        <v>1</v>
      </c>
      <c r="P64" s="16">
        <f>VLOOKUP(A64,Ona!A:D,4,FALSE)</f>
        <v>1</v>
      </c>
      <c r="Q64" s="16">
        <f>VLOOKUP(A64,Yuxin!A:D,4,FALSE)</f>
        <v>2</v>
      </c>
      <c r="R64" s="16">
        <f>VLOOKUP(A64,Linyao!A:D,4,FALSE)</f>
        <v>1</v>
      </c>
      <c r="S64" s="16"/>
      <c r="T64" s="16"/>
      <c r="U64" s="16"/>
      <c r="V64" s="16"/>
      <c r="W64" s="16"/>
      <c r="X64" s="16"/>
      <c r="Y64" s="16"/>
    </row>
    <row r="65" ht="15.75" customHeight="1">
      <c r="A65" s="16" t="s">
        <v>66</v>
      </c>
      <c r="B65" s="16" t="s">
        <v>130</v>
      </c>
      <c r="C65" s="16" t="s">
        <v>193</v>
      </c>
      <c r="D65" s="16" t="s">
        <v>281</v>
      </c>
      <c r="E65" s="23">
        <f t="shared" si="1"/>
        <v>1.333333333</v>
      </c>
      <c r="F65" s="16">
        <f>VLOOKUP(A65,Oonasfriend2!A:C,3,FALSE)</f>
        <v>1</v>
      </c>
      <c r="G65" s="16">
        <f>VLOOKUP(A65,Oonasfriend1!A:C,3,FALSE)</f>
        <v>2</v>
      </c>
      <c r="H65" s="16">
        <f>VLOOKUP(A65,Oona!A:C,3,FALSE)</f>
        <v>1</v>
      </c>
      <c r="I65" s="16">
        <f>VLOOKUP(A65,Ona!A:C,3,FALSE)</f>
        <v>1</v>
      </c>
      <c r="J65" s="16">
        <f>VLOOKUP(A65,Yuxin!A:C,3,FALSE)</f>
        <v>2</v>
      </c>
      <c r="K65" s="16">
        <f>VLOOKUP(A65,Linyao!A:C,3,FALSE)</f>
        <v>1</v>
      </c>
      <c r="L65" s="23">
        <f t="shared" si="2"/>
        <v>3.333333333</v>
      </c>
      <c r="M65" s="16">
        <f>VLOOKUP(A65,Oonasfriend2!A:D,4,FALSE)</f>
        <v>4</v>
      </c>
      <c r="N65" s="16">
        <f>VLOOKUP(A65,Oonasfriend1!A:D,4,FALSE)</f>
        <v>3</v>
      </c>
      <c r="O65" s="16">
        <f>VLOOKUP(A65,Oona!A:D,4,FALSE)</f>
        <v>1</v>
      </c>
      <c r="P65" s="16">
        <f>VLOOKUP(A65,Ona!A:D,4,FALSE)</f>
        <v>5</v>
      </c>
      <c r="Q65" s="16">
        <f>VLOOKUP(A65,Yuxin!A:D,4,FALSE)</f>
        <v>2</v>
      </c>
      <c r="R65" s="16">
        <f>VLOOKUP(A65,Linyao!A:D,4,FALSE)</f>
        <v>5</v>
      </c>
      <c r="S65" s="16"/>
      <c r="T65" s="16"/>
      <c r="U65" s="16"/>
      <c r="V65" s="16"/>
      <c r="W65" s="16"/>
      <c r="X65" s="16"/>
      <c r="Y65" s="16"/>
    </row>
    <row r="66" ht="15.75" customHeight="1">
      <c r="A66" s="16" t="s">
        <v>131</v>
      </c>
      <c r="B66" s="16" t="s">
        <v>132</v>
      </c>
      <c r="C66" s="16" t="s">
        <v>197</v>
      </c>
      <c r="D66" s="16" t="s">
        <v>282</v>
      </c>
      <c r="E66" s="23">
        <f t="shared" si="1"/>
        <v>1.666666667</v>
      </c>
      <c r="F66" s="16">
        <f>VLOOKUP(A66,Oonasfriend2!A:C,3,FALSE)</f>
        <v>1</v>
      </c>
      <c r="G66" s="16">
        <f>VLOOKUP(A66,Oonasfriend1!A:C,3,FALSE)</f>
        <v>2</v>
      </c>
      <c r="H66" s="16">
        <f>VLOOKUP(A66,Oona!A:C,3,FALSE)</f>
        <v>1</v>
      </c>
      <c r="I66" s="16">
        <f>VLOOKUP(A66,Ona!A:C,3,FALSE)</f>
        <v>1</v>
      </c>
      <c r="J66" s="16">
        <f>VLOOKUP(A66,Yuxin!A:C,3,FALSE)</f>
        <v>3</v>
      </c>
      <c r="K66" s="16">
        <f>VLOOKUP(A66,Linyao!A:C,3,FALSE)</f>
        <v>2</v>
      </c>
      <c r="L66" s="23">
        <f t="shared" si="2"/>
        <v>2</v>
      </c>
      <c r="M66" s="16">
        <f>VLOOKUP(A66,Oonasfriend2!A:D,4,FALSE)</f>
        <v>1</v>
      </c>
      <c r="N66" s="16">
        <f>VLOOKUP(A66,Oonasfriend1!A:D,4,FALSE)</f>
        <v>2</v>
      </c>
      <c r="O66" s="16">
        <f>VLOOKUP(A66,Oona!A:D,4,FALSE)</f>
        <v>1</v>
      </c>
      <c r="P66" s="16">
        <f>VLOOKUP(A66,Ona!A:D,4,FALSE)</f>
        <v>3</v>
      </c>
      <c r="Q66" s="16">
        <f>VLOOKUP(A66,Yuxin!A:D,4,FALSE)</f>
        <v>2</v>
      </c>
      <c r="R66" s="16">
        <f>VLOOKUP(A66,Linyao!A:D,4,FALSE)</f>
        <v>3</v>
      </c>
      <c r="S66" s="16"/>
      <c r="T66" s="16"/>
      <c r="U66" s="16"/>
      <c r="V66" s="16"/>
      <c r="W66" s="16"/>
      <c r="X66" s="16"/>
      <c r="Y66" s="16"/>
    </row>
    <row r="67" ht="15.75" customHeight="1">
      <c r="A67" s="16" t="s">
        <v>246</v>
      </c>
      <c r="B67" s="16" t="s">
        <v>133</v>
      </c>
      <c r="C67" s="16" t="s">
        <v>193</v>
      </c>
      <c r="D67" s="16" t="s">
        <v>283</v>
      </c>
      <c r="E67" s="23">
        <f t="shared" si="1"/>
        <v>1</v>
      </c>
      <c r="F67" s="16">
        <f>VLOOKUP(A67,Oonasfriend2!A:C,3,FALSE)</f>
        <v>1</v>
      </c>
      <c r="G67" s="16">
        <f>VLOOKUP(A67,Oonasfriend1!A:C,3,FALSE)</f>
        <v>1</v>
      </c>
      <c r="H67" s="16">
        <f>VLOOKUP(A67,Oona!A:C,3,FALSE)</f>
        <v>1</v>
      </c>
      <c r="I67" s="16">
        <f>VLOOKUP(A67,Ona!A:C,3,FALSE)</f>
        <v>1</v>
      </c>
      <c r="J67" s="16">
        <f>VLOOKUP(A67,Yuxin!A:C,3,FALSE)</f>
        <v>1</v>
      </c>
      <c r="K67" s="16">
        <f>VLOOKUP(A67,Linyao!A:C,3,FALSE)</f>
        <v>1</v>
      </c>
      <c r="L67" s="23">
        <f t="shared" si="2"/>
        <v>2.666666667</v>
      </c>
      <c r="M67" s="16">
        <f>VLOOKUP(A67,Oonasfriend2!A:D,4,FALSE)</f>
        <v>1</v>
      </c>
      <c r="N67" s="16">
        <f>VLOOKUP(A67,Oonasfriend1!A:D,4,FALSE)</f>
        <v>3</v>
      </c>
      <c r="O67" s="16">
        <f>VLOOKUP(A67,Oona!A:D,4,FALSE)</f>
        <v>3</v>
      </c>
      <c r="P67" s="16">
        <f>VLOOKUP(A67,Ona!A:D,4,FALSE)</f>
        <v>3</v>
      </c>
      <c r="Q67" s="16">
        <f>VLOOKUP(A67,Yuxin!A:D,4,FALSE)</f>
        <v>1</v>
      </c>
      <c r="R67" s="16">
        <f>VLOOKUP(A67,Linyao!A:D,4,FALSE)</f>
        <v>5</v>
      </c>
      <c r="S67" s="16"/>
      <c r="T67" s="16"/>
      <c r="U67" s="16"/>
      <c r="V67" s="16"/>
      <c r="W67" s="16"/>
      <c r="X67" s="16"/>
      <c r="Y67" s="16"/>
    </row>
    <row r="68" ht="15.75" customHeight="1">
      <c r="A68" s="16" t="s">
        <v>239</v>
      </c>
      <c r="B68" s="16" t="s">
        <v>134</v>
      </c>
      <c r="C68" s="16" t="s">
        <v>197</v>
      </c>
      <c r="D68" s="16" t="s">
        <v>284</v>
      </c>
      <c r="E68" s="23">
        <f t="shared" si="1"/>
        <v>2.166666667</v>
      </c>
      <c r="F68" s="16">
        <f>VLOOKUP(A68,Oonasfriend2!A:C,3,FALSE)</f>
        <v>1</v>
      </c>
      <c r="G68" s="16">
        <f>VLOOKUP(A68,Oonasfriend1!A:C,3,FALSE)</f>
        <v>2</v>
      </c>
      <c r="H68" s="16">
        <f>VLOOKUP(A68,Oona!A:C,3,FALSE)</f>
        <v>1</v>
      </c>
      <c r="I68" s="16">
        <f>VLOOKUP(A68,Ona!A:C,3,FALSE)</f>
        <v>3</v>
      </c>
      <c r="J68" s="16">
        <f>VLOOKUP(A68,Yuxin!A:C,3,FALSE)</f>
        <v>2</v>
      </c>
      <c r="K68" s="16">
        <f>VLOOKUP(A68,Linyao!A:C,3,FALSE)</f>
        <v>4</v>
      </c>
      <c r="L68" s="23">
        <f t="shared" si="2"/>
        <v>3.166666667</v>
      </c>
      <c r="M68" s="16">
        <f>VLOOKUP(A68,Oonasfriend2!A:D,4,FALSE)</f>
        <v>1</v>
      </c>
      <c r="N68" s="16">
        <f>VLOOKUP(A68,Oonasfriend1!A:D,4,FALSE)</f>
        <v>4</v>
      </c>
      <c r="O68" s="16">
        <f>VLOOKUP(A68,Oona!A:D,4,FALSE)</f>
        <v>1</v>
      </c>
      <c r="P68" s="16">
        <f>VLOOKUP(A68,Ona!A:D,4,FALSE)</f>
        <v>5</v>
      </c>
      <c r="Q68" s="16">
        <f>VLOOKUP(A68,Yuxin!A:D,4,FALSE)</f>
        <v>3</v>
      </c>
      <c r="R68" s="16">
        <f>VLOOKUP(A68,Linyao!A:D,4,FALSE)</f>
        <v>5</v>
      </c>
      <c r="S68" s="16"/>
      <c r="T68" s="16"/>
      <c r="U68" s="16"/>
      <c r="V68" s="16"/>
      <c r="W68" s="16"/>
      <c r="X68" s="16"/>
      <c r="Y68" s="16"/>
    </row>
    <row r="69" ht="15.75" customHeight="1">
      <c r="A69" s="16" t="s">
        <v>227</v>
      </c>
      <c r="B69" s="16" t="s">
        <v>135</v>
      </c>
      <c r="C69" s="16" t="s">
        <v>197</v>
      </c>
      <c r="D69" s="16" t="s">
        <v>285</v>
      </c>
      <c r="E69" s="23">
        <f t="shared" si="1"/>
        <v>1.333333333</v>
      </c>
      <c r="F69" s="16">
        <f>VLOOKUP(A69,Oonasfriend2!A:C,3,FALSE)</f>
        <v>1</v>
      </c>
      <c r="G69" s="16">
        <f>VLOOKUP(A69,Oonasfriend1!A:C,3,FALSE)</f>
        <v>1</v>
      </c>
      <c r="H69" s="16">
        <f>VLOOKUP(A69,Oona!A:C,3,FALSE)</f>
        <v>2</v>
      </c>
      <c r="I69" s="16">
        <f>VLOOKUP(A69,Ona!A:C,3,FALSE)</f>
        <v>1</v>
      </c>
      <c r="J69" s="16">
        <f>VLOOKUP(A69,Yuxin!A:C,3,FALSE)</f>
        <v>2</v>
      </c>
      <c r="K69" s="16">
        <f>VLOOKUP(A69,Linyao!A:C,3,FALSE)</f>
        <v>1</v>
      </c>
      <c r="L69" s="23">
        <f t="shared" si="2"/>
        <v>4</v>
      </c>
      <c r="M69" s="16">
        <f>VLOOKUP(A69,Oonasfriend2!A:D,4,FALSE)</f>
        <v>5</v>
      </c>
      <c r="N69" s="16">
        <f>VLOOKUP(A69,Oonasfriend1!A:D,4,FALSE)</f>
        <v>4</v>
      </c>
      <c r="O69" s="16">
        <f>VLOOKUP(A69,Oona!A:D,4,FALSE)</f>
        <v>5</v>
      </c>
      <c r="P69" s="16">
        <f>VLOOKUP(A69,Ona!A:D,4,FALSE)</f>
        <v>5</v>
      </c>
      <c r="Q69" s="16">
        <f>VLOOKUP(A69,Yuxin!A:D,4,FALSE)</f>
        <v>2</v>
      </c>
      <c r="R69" s="16">
        <f>VLOOKUP(A69,Linyao!A:D,4,FALSE)</f>
        <v>3</v>
      </c>
      <c r="S69" s="16"/>
      <c r="T69" s="16"/>
      <c r="U69" s="16"/>
      <c r="V69" s="16"/>
      <c r="W69" s="16"/>
      <c r="X69" s="16"/>
      <c r="Y69" s="16"/>
    </row>
    <row r="70" ht="15.75" customHeight="1">
      <c r="A70" s="16" t="s">
        <v>286</v>
      </c>
      <c r="B70" s="16" t="s">
        <v>137</v>
      </c>
      <c r="C70" s="16" t="s">
        <v>193</v>
      </c>
      <c r="D70" s="16" t="s">
        <v>287</v>
      </c>
      <c r="E70" s="23">
        <f t="shared" si="1"/>
        <v>1.5</v>
      </c>
      <c r="F70" s="16">
        <f>VLOOKUP(A70,Oonasfriend2!A:C,3,FALSE)</f>
        <v>1</v>
      </c>
      <c r="G70" s="16">
        <f>VLOOKUP(A70,Oonasfriend1!A:C,3,FALSE)</f>
        <v>2</v>
      </c>
      <c r="H70" s="16">
        <f>VLOOKUP(A70,Oona!A:C,3,FALSE)</f>
        <v>1</v>
      </c>
      <c r="I70" s="16">
        <f>VLOOKUP(A70,Ona!A:C,3,FALSE)</f>
        <v>2</v>
      </c>
      <c r="J70" s="16">
        <f>VLOOKUP(A70,Yuxin!A:C,3,FALSE)</f>
        <v>2</v>
      </c>
      <c r="K70" s="16">
        <f>VLOOKUP(A70,Linyao!A:C,3,FALSE)</f>
        <v>1</v>
      </c>
      <c r="L70" s="23">
        <f t="shared" si="2"/>
        <v>1</v>
      </c>
      <c r="M70" s="16">
        <f>VLOOKUP(A70,Oonasfriend2!A:D,4,FALSE)</f>
        <v>1</v>
      </c>
      <c r="N70" s="16">
        <f>VLOOKUP(A70,Oonasfriend1!A:D,4,FALSE)</f>
        <v>1</v>
      </c>
      <c r="O70" s="16">
        <f>VLOOKUP(A70,Oona!A:D,4,FALSE)</f>
        <v>1</v>
      </c>
      <c r="P70" s="16">
        <f>VLOOKUP(A70,Ona!A:D,4,FALSE)</f>
        <v>1</v>
      </c>
      <c r="Q70" s="16">
        <f>VLOOKUP(A70,Yuxin!A:D,4,FALSE)</f>
        <v>1</v>
      </c>
      <c r="R70" s="16">
        <f>VLOOKUP(A70,Linyao!A:D,4,FALSE)</f>
        <v>1</v>
      </c>
      <c r="S70" s="16"/>
      <c r="T70" s="16"/>
      <c r="U70" s="16"/>
      <c r="V70" s="16"/>
      <c r="W70" s="16"/>
      <c r="X70" s="16"/>
      <c r="Y70" s="16"/>
    </row>
    <row r="71" ht="15.75" customHeight="1">
      <c r="A71" s="16" t="s">
        <v>233</v>
      </c>
      <c r="B71" s="16" t="s">
        <v>138</v>
      </c>
      <c r="C71" s="16" t="s">
        <v>193</v>
      </c>
      <c r="D71" s="16" t="s">
        <v>288</v>
      </c>
      <c r="E71" s="23">
        <f t="shared" si="1"/>
        <v>3</v>
      </c>
      <c r="F71" s="16">
        <f>VLOOKUP(A71,Oonasfriend2!A:C,3,FALSE)</f>
        <v>1</v>
      </c>
      <c r="G71" s="16">
        <f>VLOOKUP(A71,Oonasfriend1!A:C,3,FALSE)</f>
        <v>5</v>
      </c>
      <c r="H71" s="16">
        <f>VLOOKUP(A71,Oona!A:C,3,FALSE)</f>
        <v>1</v>
      </c>
      <c r="I71" s="16">
        <f>VLOOKUP(A71,Ona!A:C,3,FALSE)</f>
        <v>3</v>
      </c>
      <c r="J71" s="16">
        <f>VLOOKUP(A71,Yuxin!A:C,3,FALSE)</f>
        <v>3</v>
      </c>
      <c r="K71" s="16">
        <f>VLOOKUP(A71,Linyao!A:C,3,FALSE)</f>
        <v>5</v>
      </c>
      <c r="L71" s="23">
        <f t="shared" si="2"/>
        <v>1.5</v>
      </c>
      <c r="M71" s="16">
        <f>VLOOKUP(A71,Oonasfriend2!A:D,4,FALSE)</f>
        <v>1</v>
      </c>
      <c r="N71" s="16">
        <f>VLOOKUP(A71,Oonasfriend1!A:D,4,FALSE)</f>
        <v>1</v>
      </c>
      <c r="O71" s="16">
        <f>VLOOKUP(A71,Oona!A:D,4,FALSE)</f>
        <v>1</v>
      </c>
      <c r="P71" s="16">
        <f>VLOOKUP(A71,Ona!A:D,4,FALSE)</f>
        <v>1</v>
      </c>
      <c r="Q71" s="16">
        <f>VLOOKUP(A71,Yuxin!A:D,4,FALSE)</f>
        <v>3</v>
      </c>
      <c r="R71" s="16">
        <f>VLOOKUP(A71,Linyao!A:D,4,FALSE)</f>
        <v>2</v>
      </c>
      <c r="S71" s="16"/>
      <c r="T71" s="16"/>
      <c r="U71" s="16"/>
      <c r="V71" s="16"/>
      <c r="W71" s="16"/>
      <c r="X71" s="16"/>
      <c r="Y71" s="16"/>
    </row>
    <row r="72" ht="15.75" customHeight="1">
      <c r="A72" s="16" t="s">
        <v>271</v>
      </c>
      <c r="B72" s="16" t="s">
        <v>139</v>
      </c>
      <c r="C72" s="16" t="s">
        <v>193</v>
      </c>
      <c r="D72" s="16" t="s">
        <v>289</v>
      </c>
      <c r="E72" s="23">
        <f t="shared" si="1"/>
        <v>1.833333333</v>
      </c>
      <c r="F72" s="16">
        <f>VLOOKUP(A72,Oonasfriend2!A:C,3,FALSE)</f>
        <v>1</v>
      </c>
      <c r="G72" s="16">
        <f>VLOOKUP(A72,Oonasfriend1!A:C,3,FALSE)</f>
        <v>2</v>
      </c>
      <c r="H72" s="16">
        <f>VLOOKUP(A72,Oona!A:C,3,FALSE)</f>
        <v>2</v>
      </c>
      <c r="I72" s="16">
        <f>VLOOKUP(A72,Ona!A:C,3,FALSE)</f>
        <v>3</v>
      </c>
      <c r="J72" s="16">
        <f>VLOOKUP(A72,Yuxin!A:C,3,FALSE)</f>
        <v>2</v>
      </c>
      <c r="K72" s="16">
        <f>VLOOKUP(A72,Linyao!A:C,3,FALSE)</f>
        <v>1</v>
      </c>
      <c r="L72" s="23">
        <f t="shared" si="2"/>
        <v>4.666666667</v>
      </c>
      <c r="M72" s="16">
        <f>VLOOKUP(A72,Oonasfriend2!A:D,4,FALSE)</f>
        <v>5</v>
      </c>
      <c r="N72" s="16">
        <f>VLOOKUP(A72,Oonasfriend1!A:D,4,FALSE)</f>
        <v>5</v>
      </c>
      <c r="O72" s="16">
        <f>VLOOKUP(A72,Oona!A:D,4,FALSE)</f>
        <v>5</v>
      </c>
      <c r="P72" s="16">
        <f>VLOOKUP(A72,Ona!A:D,4,FALSE)</f>
        <v>5</v>
      </c>
      <c r="Q72" s="16">
        <f>VLOOKUP(A72,Yuxin!A:D,4,FALSE)</f>
        <v>3</v>
      </c>
      <c r="R72" s="16">
        <f>VLOOKUP(A72,Linyao!A:D,4,FALSE)</f>
        <v>5</v>
      </c>
      <c r="S72" s="16"/>
      <c r="T72" s="16"/>
      <c r="U72" s="16"/>
      <c r="V72" s="16"/>
      <c r="W72" s="16"/>
      <c r="X72" s="16"/>
      <c r="Y72" s="16"/>
    </row>
    <row r="73" ht="15.75" customHeight="1">
      <c r="A73" s="16" t="s">
        <v>231</v>
      </c>
      <c r="B73" s="16" t="s">
        <v>140</v>
      </c>
      <c r="C73" s="16" t="s">
        <v>193</v>
      </c>
      <c r="D73" s="16" t="s">
        <v>290</v>
      </c>
      <c r="E73" s="23">
        <f t="shared" si="1"/>
        <v>1.5</v>
      </c>
      <c r="F73" s="16">
        <f>VLOOKUP(A73,Oonasfriend2!A:C,3,FALSE)</f>
        <v>1</v>
      </c>
      <c r="G73" s="16">
        <f>VLOOKUP(A73,Oonasfriend1!A:C,3,FALSE)</f>
        <v>2</v>
      </c>
      <c r="H73" s="16">
        <f>VLOOKUP(A73,Oona!A:C,3,FALSE)</f>
        <v>1</v>
      </c>
      <c r="I73" s="16">
        <f>VLOOKUP(A73,Ona!A:C,3,FALSE)</f>
        <v>2</v>
      </c>
      <c r="J73" s="16">
        <f>VLOOKUP(A73,Yuxin!A:C,3,FALSE)</f>
        <v>2</v>
      </c>
      <c r="K73" s="16">
        <f>VLOOKUP(A73,Linyao!A:C,3,FALSE)</f>
        <v>1</v>
      </c>
      <c r="L73" s="23">
        <f t="shared" si="2"/>
        <v>3</v>
      </c>
      <c r="M73" s="16">
        <f>VLOOKUP(A73,Oonasfriend2!A:D,4,FALSE)</f>
        <v>5</v>
      </c>
      <c r="N73" s="16">
        <f>VLOOKUP(A73,Oonasfriend1!A:D,4,FALSE)</f>
        <v>2</v>
      </c>
      <c r="O73" s="16">
        <f>VLOOKUP(A73,Oona!A:D,4,FALSE)</f>
        <v>3</v>
      </c>
      <c r="P73" s="16">
        <f>VLOOKUP(A73,Ona!A:D,4,FALSE)</f>
        <v>5</v>
      </c>
      <c r="Q73" s="16">
        <f>VLOOKUP(A73,Yuxin!A:D,4,FALSE)</f>
        <v>2</v>
      </c>
      <c r="R73" s="16">
        <f>VLOOKUP(A73,Linyao!A:D,4,FALSE)</f>
        <v>1</v>
      </c>
      <c r="S73" s="16"/>
      <c r="T73" s="16"/>
      <c r="U73" s="16"/>
      <c r="V73" s="16"/>
      <c r="W73" s="16"/>
      <c r="X73" s="16"/>
      <c r="Y73" s="16"/>
    </row>
    <row r="74" ht="15.75" customHeight="1">
      <c r="A74" s="16" t="s">
        <v>291</v>
      </c>
      <c r="B74" s="16" t="s">
        <v>142</v>
      </c>
      <c r="C74" s="16" t="s">
        <v>197</v>
      </c>
      <c r="D74" s="16" t="s">
        <v>292</v>
      </c>
      <c r="E74" s="23">
        <f t="shared" si="1"/>
        <v>1</v>
      </c>
      <c r="F74" s="16">
        <f>VLOOKUP(A74,Oonasfriend2!A:C,3,FALSE)</f>
        <v>1</v>
      </c>
      <c r="G74" s="16">
        <f>VLOOKUP(A74,Oonasfriend1!A:C,3,FALSE)</f>
        <v>1</v>
      </c>
      <c r="H74" s="16">
        <f>VLOOKUP(A74,Oona!A:C,3,FALSE)</f>
        <v>1</v>
      </c>
      <c r="I74" s="16">
        <f>VLOOKUP(A74,Ona!A:C,3,FALSE)</f>
        <v>1</v>
      </c>
      <c r="J74" s="16">
        <f>VLOOKUP(A74,Yuxin!A:C,3,FALSE)</f>
        <v>1</v>
      </c>
      <c r="K74" s="16">
        <f>VLOOKUP(A74,Linyao!A:C,3,FALSE)</f>
        <v>1</v>
      </c>
      <c r="L74" s="23">
        <f t="shared" si="2"/>
        <v>3.166666667</v>
      </c>
      <c r="M74" s="16">
        <f>VLOOKUP(A74,Oonasfriend2!A:D,4,FALSE)</f>
        <v>3</v>
      </c>
      <c r="N74" s="16">
        <f>VLOOKUP(A74,Oonasfriend1!A:D,4,FALSE)</f>
        <v>3</v>
      </c>
      <c r="O74" s="16">
        <f>VLOOKUP(A74,Oona!A:D,4,FALSE)</f>
        <v>5</v>
      </c>
      <c r="P74" s="16">
        <f>VLOOKUP(A74,Ona!A:D,4,FALSE)</f>
        <v>3</v>
      </c>
      <c r="Q74" s="16">
        <f>VLOOKUP(A74,Yuxin!A:D,4,FALSE)</f>
        <v>3</v>
      </c>
      <c r="R74" s="16">
        <f>VLOOKUP(A74,Linyao!A:D,4,FALSE)</f>
        <v>2</v>
      </c>
      <c r="S74" s="16"/>
      <c r="T74" s="16"/>
      <c r="U74" s="16"/>
      <c r="V74" s="16"/>
      <c r="W74" s="16"/>
      <c r="X74" s="16"/>
      <c r="Y74" s="16"/>
    </row>
    <row r="75" ht="15.75" customHeight="1">
      <c r="A75" s="16" t="s">
        <v>97</v>
      </c>
      <c r="B75" s="16" t="s">
        <v>143</v>
      </c>
      <c r="C75" s="16" t="s">
        <v>197</v>
      </c>
      <c r="D75" s="16" t="s">
        <v>293</v>
      </c>
      <c r="E75" s="23">
        <f t="shared" si="1"/>
        <v>1.5</v>
      </c>
      <c r="F75" s="16">
        <f>VLOOKUP(A75,Oonasfriend2!A:C,3,FALSE)</f>
        <v>1</v>
      </c>
      <c r="G75" s="16">
        <f>VLOOKUP(A75,Oonasfriend1!A:C,3,FALSE)</f>
        <v>3</v>
      </c>
      <c r="H75" s="16">
        <f>VLOOKUP(A75,Oona!A:C,3,FALSE)</f>
        <v>1</v>
      </c>
      <c r="I75" s="16">
        <f>VLOOKUP(A75,Ona!A:C,3,FALSE)</f>
        <v>1</v>
      </c>
      <c r="J75" s="16">
        <f>VLOOKUP(A75,Yuxin!A:C,3,FALSE)</f>
        <v>2</v>
      </c>
      <c r="K75" s="16">
        <f>VLOOKUP(A75,Linyao!A:C,3,FALSE)</f>
        <v>1</v>
      </c>
      <c r="L75" s="23">
        <f t="shared" si="2"/>
        <v>1.666666667</v>
      </c>
      <c r="M75" s="16">
        <f>VLOOKUP(A75,Oonasfriend2!A:D,4,FALSE)</f>
        <v>1</v>
      </c>
      <c r="N75" s="16">
        <f>VLOOKUP(A75,Oonasfriend1!A:D,4,FALSE)</f>
        <v>2</v>
      </c>
      <c r="O75" s="16">
        <f>VLOOKUP(A75,Oona!A:D,4,FALSE)</f>
        <v>1</v>
      </c>
      <c r="P75" s="16">
        <f>VLOOKUP(A75,Ona!A:D,4,FALSE)</f>
        <v>1</v>
      </c>
      <c r="Q75" s="16">
        <f>VLOOKUP(A75,Yuxin!A:D,4,FALSE)</f>
        <v>1</v>
      </c>
      <c r="R75" s="16">
        <f>VLOOKUP(A75,Linyao!A:D,4,FALSE)</f>
        <v>4</v>
      </c>
      <c r="S75" s="16"/>
      <c r="T75" s="16"/>
      <c r="U75" s="16"/>
      <c r="V75" s="16"/>
      <c r="W75" s="16"/>
      <c r="X75" s="16"/>
      <c r="Y75" s="16"/>
    </row>
    <row r="76" ht="15.75" customHeight="1">
      <c r="A76" s="16" t="s">
        <v>127</v>
      </c>
      <c r="B76" s="16" t="s">
        <v>144</v>
      </c>
      <c r="C76" s="16" t="s">
        <v>197</v>
      </c>
      <c r="D76" s="16" t="s">
        <v>294</v>
      </c>
      <c r="E76" s="23">
        <f t="shared" si="1"/>
        <v>2.333333333</v>
      </c>
      <c r="F76" s="16">
        <f>VLOOKUP(A76,Oonasfriend2!A:C,3,FALSE)</f>
        <v>1</v>
      </c>
      <c r="G76" s="16">
        <f>VLOOKUP(A76,Oonasfriend1!A:C,3,FALSE)</f>
        <v>3</v>
      </c>
      <c r="H76" s="16">
        <f>VLOOKUP(A76,Oona!A:C,3,FALSE)</f>
        <v>2</v>
      </c>
      <c r="I76" s="16">
        <f>VLOOKUP(A76,Ona!A:C,3,FALSE)</f>
        <v>2</v>
      </c>
      <c r="J76" s="16">
        <f>VLOOKUP(A76,Yuxin!A:C,3,FALSE)</f>
        <v>3</v>
      </c>
      <c r="K76" s="16">
        <f>VLOOKUP(A76,Linyao!A:C,3,FALSE)</f>
        <v>3</v>
      </c>
      <c r="L76" s="23">
        <f t="shared" si="2"/>
        <v>1.333333333</v>
      </c>
      <c r="M76" s="16">
        <f>VLOOKUP(A76,Oonasfriend2!A:D,4,FALSE)</f>
        <v>1</v>
      </c>
      <c r="N76" s="16">
        <f>VLOOKUP(A76,Oonasfriend1!A:D,4,FALSE)</f>
        <v>1</v>
      </c>
      <c r="O76" s="16">
        <f>VLOOKUP(A76,Oona!A:D,4,FALSE)</f>
        <v>1</v>
      </c>
      <c r="P76" s="16">
        <f>VLOOKUP(A76,Ona!A:D,4,FALSE)</f>
        <v>1</v>
      </c>
      <c r="Q76" s="16">
        <f>VLOOKUP(A76,Yuxin!A:D,4,FALSE)</f>
        <v>1</v>
      </c>
      <c r="R76" s="16">
        <f>VLOOKUP(A76,Linyao!A:D,4,FALSE)</f>
        <v>3</v>
      </c>
      <c r="S76" s="16"/>
      <c r="T76" s="16"/>
      <c r="U76" s="16"/>
      <c r="V76" s="16"/>
      <c r="W76" s="16"/>
      <c r="X76" s="16"/>
      <c r="Y76" s="16"/>
    </row>
    <row r="77" ht="15.75" customHeight="1">
      <c r="A77" s="16" t="s">
        <v>125</v>
      </c>
      <c r="B77" s="16" t="s">
        <v>145</v>
      </c>
      <c r="C77" s="16" t="s">
        <v>193</v>
      </c>
      <c r="D77" s="16" t="s">
        <v>295</v>
      </c>
      <c r="E77" s="23">
        <f t="shared" si="1"/>
        <v>1.333333333</v>
      </c>
      <c r="F77" s="16">
        <f>VLOOKUP(A77,Oonasfriend2!A:C,3,FALSE)</f>
        <v>1</v>
      </c>
      <c r="G77" s="16">
        <f>VLOOKUP(A77,Oonasfriend1!A:C,3,FALSE)</f>
        <v>2</v>
      </c>
      <c r="H77" s="16">
        <f>VLOOKUP(A77,Oona!A:C,3,FALSE)</f>
        <v>1</v>
      </c>
      <c r="I77" s="16">
        <f>VLOOKUP(A77,Ona!A:C,3,FALSE)</f>
        <v>1</v>
      </c>
      <c r="J77" s="16">
        <f>VLOOKUP(A77,Yuxin!A:C,3,FALSE)</f>
        <v>2</v>
      </c>
      <c r="K77" s="16">
        <f>VLOOKUP(A77,Linyao!A:C,3,FALSE)</f>
        <v>1</v>
      </c>
      <c r="L77" s="23">
        <f t="shared" si="2"/>
        <v>3.833333333</v>
      </c>
      <c r="M77" s="16">
        <f>VLOOKUP(A77,Oonasfriend2!A:D,4,FALSE)</f>
        <v>4</v>
      </c>
      <c r="N77" s="16">
        <f>VLOOKUP(A77,Oonasfriend1!A:D,4,FALSE)</f>
        <v>4</v>
      </c>
      <c r="O77" s="16">
        <f>VLOOKUP(A77,Oona!A:D,4,FALSE)</f>
        <v>5</v>
      </c>
      <c r="P77" s="16">
        <f>VLOOKUP(A77,Ona!A:D,4,FALSE)</f>
        <v>5</v>
      </c>
      <c r="Q77" s="16">
        <f>VLOOKUP(A77,Yuxin!A:D,4,FALSE)</f>
        <v>2</v>
      </c>
      <c r="R77" s="16">
        <f>VLOOKUP(A77,Linyao!A:D,4,FALSE)</f>
        <v>3</v>
      </c>
      <c r="S77" s="16"/>
      <c r="T77" s="16"/>
      <c r="U77" s="16"/>
      <c r="V77" s="16"/>
      <c r="W77" s="16"/>
      <c r="X77" s="16"/>
      <c r="Y77" s="16"/>
    </row>
    <row r="78" ht="15.75" customHeight="1">
      <c r="A78" s="16" t="s">
        <v>296</v>
      </c>
      <c r="B78" s="16" t="s">
        <v>147</v>
      </c>
      <c r="C78" s="16" t="s">
        <v>193</v>
      </c>
      <c r="D78" s="16" t="s">
        <v>297</v>
      </c>
      <c r="E78" s="23">
        <f t="shared" si="1"/>
        <v>1.333333333</v>
      </c>
      <c r="F78" s="16">
        <f>VLOOKUP(A78,Oonasfriend2!A:C,3,FALSE)</f>
        <v>1</v>
      </c>
      <c r="G78" s="16">
        <f>VLOOKUP(A78,Oonasfriend1!A:C,3,FALSE)</f>
        <v>2</v>
      </c>
      <c r="H78" s="16">
        <f>VLOOKUP(A78,Oona!A:C,3,FALSE)</f>
        <v>1</v>
      </c>
      <c r="I78" s="16">
        <f>VLOOKUP(A78,Ona!A:C,3,FALSE)</f>
        <v>1</v>
      </c>
      <c r="J78" s="16">
        <f>VLOOKUP(A78,Yuxin!A:C,3,FALSE)</f>
        <v>2</v>
      </c>
      <c r="K78" s="16">
        <f>VLOOKUP(A78,Linyao!A:C,3,FALSE)</f>
        <v>1</v>
      </c>
      <c r="L78" s="23">
        <f t="shared" si="2"/>
        <v>1.166666667</v>
      </c>
      <c r="M78" s="16">
        <f>VLOOKUP(A78,Oonasfriend2!A:D,4,FALSE)</f>
        <v>1</v>
      </c>
      <c r="N78" s="16">
        <f>VLOOKUP(A78,Oonasfriend1!A:D,4,FALSE)</f>
        <v>1</v>
      </c>
      <c r="O78" s="16">
        <f>VLOOKUP(A78,Oona!A:D,4,FALSE)</f>
        <v>1</v>
      </c>
      <c r="P78" s="16">
        <f>VLOOKUP(A78,Ona!A:D,4,FALSE)</f>
        <v>2</v>
      </c>
      <c r="Q78" s="16">
        <f>VLOOKUP(A78,Yuxin!A:D,4,FALSE)</f>
        <v>1</v>
      </c>
      <c r="R78" s="16">
        <f>VLOOKUP(A78,Linyao!A:D,4,FALSE)</f>
        <v>1</v>
      </c>
      <c r="S78" s="16"/>
      <c r="T78" s="16"/>
      <c r="U78" s="16"/>
      <c r="V78" s="16"/>
      <c r="W78" s="16"/>
      <c r="X78" s="16"/>
      <c r="Y78" s="16"/>
    </row>
    <row r="79" ht="15.75" customHeight="1">
      <c r="A79" s="16" t="s">
        <v>47</v>
      </c>
      <c r="B79" s="16" t="s">
        <v>148</v>
      </c>
      <c r="C79" s="16" t="s">
        <v>197</v>
      </c>
      <c r="D79" s="16" t="s">
        <v>298</v>
      </c>
      <c r="E79" s="23">
        <f t="shared" si="1"/>
        <v>2.166666667</v>
      </c>
      <c r="F79" s="16">
        <f>VLOOKUP(A79,Oonasfriend2!A:C,3,FALSE)</f>
        <v>1</v>
      </c>
      <c r="G79" s="16">
        <f>VLOOKUP(A79,Oonasfriend1!A:C,3,FALSE)</f>
        <v>4</v>
      </c>
      <c r="H79" s="16">
        <f>VLOOKUP(A79,Oona!A:C,3,FALSE)</f>
        <v>1</v>
      </c>
      <c r="I79" s="16">
        <f>VLOOKUP(A79,Ona!A:C,3,FALSE)</f>
        <v>1</v>
      </c>
      <c r="J79" s="16">
        <f>VLOOKUP(A79,Yuxin!A:C,3,FALSE)</f>
        <v>2</v>
      </c>
      <c r="K79" s="16">
        <f>VLOOKUP(A79,Linyao!A:C,3,FALSE)</f>
        <v>4</v>
      </c>
      <c r="L79" s="23">
        <f t="shared" si="2"/>
        <v>1</v>
      </c>
      <c r="M79" s="16">
        <f>VLOOKUP(A79,Oonasfriend2!A:D,4,FALSE)</f>
        <v>1</v>
      </c>
      <c r="N79" s="16">
        <f>VLOOKUP(A79,Oonasfriend1!A:D,4,FALSE)</f>
        <v>1</v>
      </c>
      <c r="O79" s="16">
        <f>VLOOKUP(A79,Oona!A:D,4,FALSE)</f>
        <v>1</v>
      </c>
      <c r="P79" s="16">
        <f>VLOOKUP(A79,Ona!A:D,4,FALSE)</f>
        <v>1</v>
      </c>
      <c r="Q79" s="16">
        <f>VLOOKUP(A79,Yuxin!A:D,4,FALSE)</f>
        <v>1</v>
      </c>
      <c r="R79" s="16">
        <f>VLOOKUP(A79,Linyao!A:D,4,FALSE)</f>
        <v>1</v>
      </c>
      <c r="S79" s="16"/>
      <c r="T79" s="16"/>
      <c r="U79" s="16"/>
      <c r="V79" s="16"/>
      <c r="W79" s="16"/>
      <c r="X79" s="16"/>
      <c r="Y79" s="16"/>
    </row>
    <row r="80" ht="15.75" customHeight="1">
      <c r="A80" s="16" t="s">
        <v>257</v>
      </c>
      <c r="B80" s="16" t="s">
        <v>149</v>
      </c>
      <c r="C80" s="16" t="s">
        <v>197</v>
      </c>
      <c r="D80" s="16" t="s">
        <v>299</v>
      </c>
      <c r="E80" s="23">
        <f t="shared" si="1"/>
        <v>1.5</v>
      </c>
      <c r="F80" s="16">
        <f>VLOOKUP(A80,Oonasfriend2!A:C,3,FALSE)</f>
        <v>1</v>
      </c>
      <c r="G80" s="16">
        <f>VLOOKUP(A80,Oonasfriend1!A:C,3,FALSE)</f>
        <v>2</v>
      </c>
      <c r="H80" s="16">
        <f>VLOOKUP(A80,Oona!A:C,3,FALSE)</f>
        <v>1</v>
      </c>
      <c r="I80" s="16">
        <f>VLOOKUP(A80,Ona!A:C,3,FALSE)</f>
        <v>1</v>
      </c>
      <c r="J80" s="16">
        <f>VLOOKUP(A80,Yuxin!A:C,3,FALSE)</f>
        <v>3</v>
      </c>
      <c r="K80" s="16">
        <f>VLOOKUP(A80,Linyao!A:C,3,FALSE)</f>
        <v>1</v>
      </c>
      <c r="L80" s="23">
        <f t="shared" si="2"/>
        <v>3</v>
      </c>
      <c r="M80" s="16">
        <f>VLOOKUP(A80,Oonasfriend2!A:D,4,FALSE)</f>
        <v>3</v>
      </c>
      <c r="N80" s="16">
        <f>VLOOKUP(A80,Oonasfriend1!A:D,4,FALSE)</f>
        <v>2</v>
      </c>
      <c r="O80" s="16">
        <f>VLOOKUP(A80,Oona!A:D,4,FALSE)</f>
        <v>2</v>
      </c>
      <c r="P80" s="16">
        <f>VLOOKUP(A80,Ona!A:D,4,FALSE)</f>
        <v>5</v>
      </c>
      <c r="Q80" s="16">
        <f>VLOOKUP(A80,Yuxin!A:D,4,FALSE)</f>
        <v>3</v>
      </c>
      <c r="R80" s="16">
        <f>VLOOKUP(A80,Linyao!A:D,4,FALSE)</f>
        <v>3</v>
      </c>
      <c r="S80" s="16"/>
      <c r="T80" s="16"/>
      <c r="U80" s="16"/>
      <c r="V80" s="16"/>
      <c r="W80" s="16"/>
      <c r="X80" s="16"/>
      <c r="Y80" s="16"/>
    </row>
    <row r="81" ht="15.75" customHeight="1">
      <c r="A81" s="16" t="s">
        <v>291</v>
      </c>
      <c r="B81" s="16" t="s">
        <v>150</v>
      </c>
      <c r="C81" s="16" t="s">
        <v>193</v>
      </c>
      <c r="D81" s="16" t="s">
        <v>300</v>
      </c>
      <c r="E81" s="23">
        <f t="shared" si="1"/>
        <v>1</v>
      </c>
      <c r="F81" s="16">
        <f>VLOOKUP(A81,Oonasfriend2!A:C,3,FALSE)</f>
        <v>1</v>
      </c>
      <c r="G81" s="16">
        <f>VLOOKUP(A81,Oonasfriend1!A:C,3,FALSE)</f>
        <v>1</v>
      </c>
      <c r="H81" s="16">
        <f>VLOOKUP(A81,Oona!A:C,3,FALSE)</f>
        <v>1</v>
      </c>
      <c r="I81" s="16">
        <f>VLOOKUP(A81,Ona!A:C,3,FALSE)</f>
        <v>1</v>
      </c>
      <c r="J81" s="16">
        <f>VLOOKUP(A81,Yuxin!A:C,3,FALSE)</f>
        <v>1</v>
      </c>
      <c r="K81" s="16">
        <f>VLOOKUP(A81,Linyao!A:C,3,FALSE)</f>
        <v>1</v>
      </c>
      <c r="L81" s="23">
        <f t="shared" si="2"/>
        <v>3.166666667</v>
      </c>
      <c r="M81" s="16">
        <f>VLOOKUP(A81,Oonasfriend2!A:D,4,FALSE)</f>
        <v>3</v>
      </c>
      <c r="N81" s="16">
        <f>VLOOKUP(A81,Oonasfriend1!A:D,4,FALSE)</f>
        <v>3</v>
      </c>
      <c r="O81" s="16">
        <f>VLOOKUP(A81,Oona!A:D,4,FALSE)</f>
        <v>5</v>
      </c>
      <c r="P81" s="16">
        <f>VLOOKUP(A81,Ona!A:D,4,FALSE)</f>
        <v>3</v>
      </c>
      <c r="Q81" s="16">
        <f>VLOOKUP(A81,Yuxin!A:D,4,FALSE)</f>
        <v>3</v>
      </c>
      <c r="R81" s="16">
        <f>VLOOKUP(A81,Linyao!A:D,4,FALSE)</f>
        <v>2</v>
      </c>
      <c r="S81" s="16"/>
      <c r="T81" s="16"/>
      <c r="U81" s="16"/>
      <c r="V81" s="16"/>
      <c r="W81" s="16"/>
      <c r="X81" s="16"/>
      <c r="Y81" s="16"/>
    </row>
    <row r="82" ht="15.75" customHeight="1">
      <c r="A82" s="16" t="s">
        <v>109</v>
      </c>
      <c r="B82" s="16" t="s">
        <v>151</v>
      </c>
      <c r="C82" s="16" t="s">
        <v>193</v>
      </c>
      <c r="D82" s="16" t="s">
        <v>301</v>
      </c>
      <c r="E82" s="23">
        <f t="shared" si="1"/>
        <v>2.166666667</v>
      </c>
      <c r="F82" s="16">
        <f>VLOOKUP(A82,Oonasfriend2!A:C,3,FALSE)</f>
        <v>1</v>
      </c>
      <c r="G82" s="16">
        <f>VLOOKUP(A82,Oonasfriend1!A:C,3,FALSE)</f>
        <v>1</v>
      </c>
      <c r="H82" s="16">
        <f>VLOOKUP(A82,Oona!A:C,3,FALSE)</f>
        <v>1</v>
      </c>
      <c r="I82" s="16">
        <f>VLOOKUP(A82,Ona!A:C,3,FALSE)</f>
        <v>3</v>
      </c>
      <c r="J82" s="16">
        <f>VLOOKUP(A82,Yuxin!A:C,3,FALSE)</f>
        <v>3</v>
      </c>
      <c r="K82" s="16">
        <f>VLOOKUP(A82,Linyao!A:C,3,FALSE)</f>
        <v>4</v>
      </c>
      <c r="L82" s="23">
        <f t="shared" si="2"/>
        <v>3.666666667</v>
      </c>
      <c r="M82" s="16">
        <f>VLOOKUP(A82,Oonasfriend2!A:D,4,FALSE)</f>
        <v>3</v>
      </c>
      <c r="N82" s="16">
        <f>VLOOKUP(A82,Oonasfriend1!A:D,4,FALSE)</f>
        <v>2</v>
      </c>
      <c r="O82" s="16">
        <f>VLOOKUP(A82,Oona!A:D,4,FALSE)</f>
        <v>5</v>
      </c>
      <c r="P82" s="16">
        <f>VLOOKUP(A82,Ona!A:D,4,FALSE)</f>
        <v>5</v>
      </c>
      <c r="Q82" s="16">
        <f>VLOOKUP(A82,Yuxin!A:D,4,FALSE)</f>
        <v>2</v>
      </c>
      <c r="R82" s="16">
        <f>VLOOKUP(A82,Linyao!A:D,4,FALSE)</f>
        <v>5</v>
      </c>
      <c r="S82" s="16"/>
      <c r="T82" s="16"/>
      <c r="U82" s="16"/>
      <c r="V82" s="16"/>
      <c r="W82" s="16"/>
      <c r="X82" s="16"/>
      <c r="Y82" s="16"/>
    </row>
    <row r="83" ht="15.75" customHeight="1">
      <c r="A83" s="16" t="s">
        <v>82</v>
      </c>
      <c r="B83" s="16" t="s">
        <v>152</v>
      </c>
      <c r="C83" s="16" t="s">
        <v>197</v>
      </c>
      <c r="D83" s="16" t="s">
        <v>302</v>
      </c>
      <c r="E83" s="23">
        <f t="shared" si="1"/>
        <v>2.5</v>
      </c>
      <c r="F83" s="16">
        <f>VLOOKUP(A83,Oonasfriend2!A:C,3,FALSE)</f>
        <v>1</v>
      </c>
      <c r="G83" s="16">
        <f>VLOOKUP(A83,Oonasfriend1!A:C,3,FALSE)</f>
        <v>4</v>
      </c>
      <c r="H83" s="16">
        <f>VLOOKUP(A83,Oona!A:C,3,FALSE)</f>
        <v>1</v>
      </c>
      <c r="I83" s="16">
        <f>VLOOKUP(A83,Ona!A:C,3,FALSE)</f>
        <v>5</v>
      </c>
      <c r="J83" s="16">
        <f>VLOOKUP(A83,Yuxin!A:C,3,FALSE)</f>
        <v>3</v>
      </c>
      <c r="K83" s="16">
        <f>VLOOKUP(A83,Linyao!A:C,3,FALSE)</f>
        <v>1</v>
      </c>
      <c r="L83" s="23">
        <f t="shared" si="2"/>
        <v>1.166666667</v>
      </c>
      <c r="M83" s="16">
        <f>VLOOKUP(A83,Oonasfriend2!A:D,4,FALSE)</f>
        <v>1</v>
      </c>
      <c r="N83" s="16">
        <f>VLOOKUP(A83,Oonasfriend1!A:D,4,FALSE)</f>
        <v>1</v>
      </c>
      <c r="O83" s="16">
        <f>VLOOKUP(A83,Oona!A:D,4,FALSE)</f>
        <v>1</v>
      </c>
      <c r="P83" s="16">
        <f>VLOOKUP(A83,Ona!A:D,4,FALSE)</f>
        <v>1</v>
      </c>
      <c r="Q83" s="16">
        <f>VLOOKUP(A83,Yuxin!A:D,4,FALSE)</f>
        <v>2</v>
      </c>
      <c r="R83" s="16">
        <f>VLOOKUP(A83,Linyao!A:D,4,FALSE)</f>
        <v>1</v>
      </c>
      <c r="S83" s="16"/>
      <c r="T83" s="16"/>
      <c r="U83" s="16"/>
      <c r="V83" s="16"/>
      <c r="W83" s="16"/>
      <c r="X83" s="16"/>
      <c r="Y83" s="16"/>
    </row>
    <row r="84" ht="15.75" customHeight="1">
      <c r="A84" s="16" t="s">
        <v>275</v>
      </c>
      <c r="B84" s="16" t="s">
        <v>153</v>
      </c>
      <c r="C84" s="16" t="s">
        <v>193</v>
      </c>
      <c r="D84" s="16" t="s">
        <v>303</v>
      </c>
      <c r="E84" s="23">
        <f t="shared" si="1"/>
        <v>2.833333333</v>
      </c>
      <c r="F84" s="16">
        <f>VLOOKUP(A84,Oonasfriend2!A:C,3,FALSE)</f>
        <v>2</v>
      </c>
      <c r="G84" s="16">
        <f>VLOOKUP(A84,Oonasfriend1!A:C,3,FALSE)</f>
        <v>4</v>
      </c>
      <c r="H84" s="16">
        <f>VLOOKUP(A84,Oona!A:C,3,FALSE)</f>
        <v>1</v>
      </c>
      <c r="I84" s="16">
        <f>VLOOKUP(A84,Ona!A:C,3,FALSE)</f>
        <v>3</v>
      </c>
      <c r="J84" s="16">
        <f>VLOOKUP(A84,Yuxin!A:C,3,FALSE)</f>
        <v>3</v>
      </c>
      <c r="K84" s="16">
        <f>VLOOKUP(A84,Linyao!A:C,3,FALSE)</f>
        <v>4</v>
      </c>
      <c r="L84" s="23">
        <f t="shared" si="2"/>
        <v>4.166666667</v>
      </c>
      <c r="M84" s="16">
        <f>VLOOKUP(A84,Oonasfriend2!A:D,4,FALSE)</f>
        <v>5</v>
      </c>
      <c r="N84" s="16">
        <f>VLOOKUP(A84,Oonasfriend1!A:D,4,FALSE)</f>
        <v>3</v>
      </c>
      <c r="O84" s="16">
        <f>VLOOKUP(A84,Oona!A:D,4,FALSE)</f>
        <v>5</v>
      </c>
      <c r="P84" s="16">
        <f>VLOOKUP(A84,Ona!A:D,4,FALSE)</f>
        <v>5</v>
      </c>
      <c r="Q84" s="16">
        <f>VLOOKUP(A84,Yuxin!A:D,4,FALSE)</f>
        <v>3</v>
      </c>
      <c r="R84" s="16">
        <f>VLOOKUP(A84,Linyao!A:D,4,FALSE)</f>
        <v>4</v>
      </c>
      <c r="S84" s="16"/>
      <c r="T84" s="16"/>
      <c r="U84" s="16"/>
      <c r="V84" s="16"/>
      <c r="W84" s="16"/>
      <c r="X84" s="16"/>
      <c r="Y84" s="16"/>
    </row>
    <row r="85" ht="15.75" customHeight="1">
      <c r="A85" s="16" t="s">
        <v>242</v>
      </c>
      <c r="B85" s="16" t="s">
        <v>154</v>
      </c>
      <c r="C85" s="16" t="s">
        <v>193</v>
      </c>
      <c r="D85" s="16" t="s">
        <v>304</v>
      </c>
      <c r="E85" s="23">
        <f t="shared" si="1"/>
        <v>1.5</v>
      </c>
      <c r="F85" s="16">
        <f>VLOOKUP(A85,Oonasfriend2!A:C,3,FALSE)</f>
        <v>1</v>
      </c>
      <c r="G85" s="16">
        <f>VLOOKUP(A85,Oonasfriend1!A:C,3,FALSE)</f>
        <v>2</v>
      </c>
      <c r="H85" s="16">
        <f>VLOOKUP(A85,Oona!A:C,3,FALSE)</f>
        <v>1</v>
      </c>
      <c r="I85" s="16">
        <f>VLOOKUP(A85,Ona!A:C,3,FALSE)</f>
        <v>2</v>
      </c>
      <c r="J85" s="16">
        <f>VLOOKUP(A85,Yuxin!A:C,3,FALSE)</f>
        <v>2</v>
      </c>
      <c r="K85" s="16">
        <f>VLOOKUP(A85,Linyao!A:C,3,FALSE)</f>
        <v>1</v>
      </c>
      <c r="L85" s="23">
        <f t="shared" si="2"/>
        <v>4.166666667</v>
      </c>
      <c r="M85" s="16">
        <f>VLOOKUP(A85,Oonasfriend2!A:D,4,FALSE)</f>
        <v>5</v>
      </c>
      <c r="N85" s="16">
        <f>VLOOKUP(A85,Oonasfriend1!A:D,4,FALSE)</f>
        <v>4</v>
      </c>
      <c r="O85" s="16">
        <f>VLOOKUP(A85,Oona!A:D,4,FALSE)</f>
        <v>2</v>
      </c>
      <c r="P85" s="16">
        <f>VLOOKUP(A85,Ona!A:D,4,FALSE)</f>
        <v>5</v>
      </c>
      <c r="Q85" s="16">
        <f>VLOOKUP(A85,Yuxin!A:D,4,FALSE)</f>
        <v>4</v>
      </c>
      <c r="R85" s="16">
        <f>VLOOKUP(A85,Linyao!A:D,4,FALSE)</f>
        <v>5</v>
      </c>
      <c r="S85" s="16"/>
      <c r="T85" s="16"/>
      <c r="U85" s="16"/>
      <c r="V85" s="16"/>
      <c r="W85" s="16"/>
      <c r="X85" s="16"/>
      <c r="Y85" s="16"/>
    </row>
    <row r="86" ht="15.75" customHeight="1">
      <c r="A86" s="16" t="s">
        <v>39</v>
      </c>
      <c r="B86" s="16" t="s">
        <v>155</v>
      </c>
      <c r="C86" s="16" t="s">
        <v>193</v>
      </c>
      <c r="D86" s="16" t="s">
        <v>305</v>
      </c>
      <c r="E86" s="23">
        <f t="shared" si="1"/>
        <v>1.833333333</v>
      </c>
      <c r="F86" s="16">
        <f>VLOOKUP(A86,Oonasfriend2!A:C,3,FALSE)</f>
        <v>1</v>
      </c>
      <c r="G86" s="16">
        <f>VLOOKUP(A86,Oonasfriend1!A:C,3,FALSE)</f>
        <v>2</v>
      </c>
      <c r="H86" s="16">
        <f>VLOOKUP(A86,Oona!A:C,3,FALSE)</f>
        <v>1</v>
      </c>
      <c r="I86" s="16">
        <f>VLOOKUP(A86,Ona!A:C,3,FALSE)</f>
        <v>1</v>
      </c>
      <c r="J86" s="16">
        <f>VLOOKUP(A86,Yuxin!A:C,3,FALSE)</f>
        <v>1</v>
      </c>
      <c r="K86" s="16">
        <f>VLOOKUP(A86,Linyao!A:C,3,FALSE)</f>
        <v>5</v>
      </c>
      <c r="L86" s="23">
        <f t="shared" si="2"/>
        <v>3.333333333</v>
      </c>
      <c r="M86" s="16">
        <f>VLOOKUP(A86,Oonasfriend2!A:D,4,FALSE)</f>
        <v>3</v>
      </c>
      <c r="N86" s="16">
        <f>VLOOKUP(A86,Oonasfriend1!A:D,4,FALSE)</f>
        <v>4</v>
      </c>
      <c r="O86" s="16">
        <f>VLOOKUP(A86,Oona!A:D,4,FALSE)</f>
        <v>3</v>
      </c>
      <c r="P86" s="16">
        <f>VLOOKUP(A86,Ona!A:D,4,FALSE)</f>
        <v>3</v>
      </c>
      <c r="Q86" s="16">
        <f>VLOOKUP(A86,Yuxin!A:D,4,FALSE)</f>
        <v>3</v>
      </c>
      <c r="R86" s="16">
        <f>VLOOKUP(A86,Linyao!A:D,4,FALSE)</f>
        <v>4</v>
      </c>
      <c r="S86" s="16"/>
      <c r="T86" s="16"/>
      <c r="U86" s="16"/>
      <c r="V86" s="16"/>
      <c r="W86" s="16"/>
      <c r="X86" s="16"/>
      <c r="Y86" s="16"/>
    </row>
    <row r="87" ht="15.75" customHeight="1">
      <c r="A87" s="16" t="s">
        <v>24</v>
      </c>
      <c r="B87" s="16" t="s">
        <v>156</v>
      </c>
      <c r="C87" s="16" t="s">
        <v>197</v>
      </c>
      <c r="D87" s="16" t="s">
        <v>306</v>
      </c>
      <c r="E87" s="23">
        <f t="shared" si="1"/>
        <v>2.166666667</v>
      </c>
      <c r="F87" s="16">
        <f>VLOOKUP(A87,Oonasfriend2!A:C,3,FALSE)</f>
        <v>1</v>
      </c>
      <c r="G87" s="16">
        <f>VLOOKUP(A87,Oonasfriend1!A:C,3,FALSE)</f>
        <v>4</v>
      </c>
      <c r="H87" s="16">
        <f>VLOOKUP(A87,Oona!A:C,3,FALSE)</f>
        <v>2</v>
      </c>
      <c r="I87" s="16">
        <f>VLOOKUP(A87,Ona!A:C,3,FALSE)</f>
        <v>1</v>
      </c>
      <c r="J87" s="16">
        <f>VLOOKUP(A87,Yuxin!A:C,3,FALSE)</f>
        <v>3</v>
      </c>
      <c r="K87" s="16">
        <f>VLOOKUP(A87,Linyao!A:C,3,FALSE)</f>
        <v>2</v>
      </c>
      <c r="L87" s="23">
        <f t="shared" si="2"/>
        <v>1.666666667</v>
      </c>
      <c r="M87" s="16">
        <f>VLOOKUP(A87,Oonasfriend2!A:D,4,FALSE)</f>
        <v>1</v>
      </c>
      <c r="N87" s="16">
        <f>VLOOKUP(A87,Oonasfriend1!A:D,4,FALSE)</f>
        <v>1</v>
      </c>
      <c r="O87" s="16">
        <f>VLOOKUP(A87,Oona!A:D,4,FALSE)</f>
        <v>2</v>
      </c>
      <c r="P87" s="16">
        <f>VLOOKUP(A87,Ona!A:D,4,FALSE)</f>
        <v>1</v>
      </c>
      <c r="Q87" s="16">
        <f>VLOOKUP(A87,Yuxin!A:D,4,FALSE)</f>
        <v>3</v>
      </c>
      <c r="R87" s="16">
        <f>VLOOKUP(A87,Linyao!A:D,4,FALSE)</f>
        <v>2</v>
      </c>
      <c r="S87" s="16"/>
      <c r="T87" s="16"/>
      <c r="U87" s="16"/>
      <c r="V87" s="16"/>
      <c r="W87" s="16"/>
      <c r="X87" s="16"/>
      <c r="Y87" s="16"/>
    </row>
    <row r="88" ht="15.75" customHeight="1">
      <c r="A88" s="16" t="s">
        <v>157</v>
      </c>
      <c r="B88" s="16" t="s">
        <v>158</v>
      </c>
      <c r="C88" s="16" t="s">
        <v>193</v>
      </c>
      <c r="D88" s="16" t="s">
        <v>307</v>
      </c>
      <c r="E88" s="23">
        <f t="shared" si="1"/>
        <v>2.5</v>
      </c>
      <c r="F88" s="16">
        <f>VLOOKUP(A88,Oonasfriend2!A:C,3,FALSE)</f>
        <v>2</v>
      </c>
      <c r="G88" s="16">
        <f>VLOOKUP(A88,Oonasfriend1!A:C,3,FALSE)</f>
        <v>3</v>
      </c>
      <c r="H88" s="16">
        <f>VLOOKUP(A88,Oona!A:C,3,FALSE)</f>
        <v>2</v>
      </c>
      <c r="I88" s="16">
        <f>VLOOKUP(A88,Ona!A:C,3,FALSE)</f>
        <v>3</v>
      </c>
      <c r="J88" s="16">
        <f>VLOOKUP(A88,Yuxin!A:C,3,FALSE)</f>
        <v>3</v>
      </c>
      <c r="K88" s="16">
        <f>VLOOKUP(A88,Linyao!A:C,3,FALSE)</f>
        <v>2</v>
      </c>
      <c r="L88" s="23">
        <f t="shared" si="2"/>
        <v>1.833333333</v>
      </c>
      <c r="M88" s="16">
        <f>VLOOKUP(A88,Oonasfriend2!A:D,4,FALSE)</f>
        <v>1</v>
      </c>
      <c r="N88" s="16">
        <f>VLOOKUP(A88,Oonasfriend1!A:D,4,FALSE)</f>
        <v>1</v>
      </c>
      <c r="O88" s="16">
        <f>VLOOKUP(A88,Oona!A:D,4,FALSE)</f>
        <v>1</v>
      </c>
      <c r="P88" s="16">
        <f>VLOOKUP(A88,Ona!A:D,4,FALSE)</f>
        <v>5</v>
      </c>
      <c r="Q88" s="16">
        <f>VLOOKUP(A88,Yuxin!A:D,4,FALSE)</f>
        <v>2</v>
      </c>
      <c r="R88" s="16">
        <f>VLOOKUP(A88,Linyao!A:D,4,FALSE)</f>
        <v>1</v>
      </c>
      <c r="S88" s="16"/>
      <c r="T88" s="16"/>
      <c r="U88" s="16"/>
      <c r="V88" s="16"/>
      <c r="W88" s="16"/>
      <c r="X88" s="16"/>
      <c r="Y88" s="16"/>
    </row>
    <row r="89" ht="15.75" customHeight="1">
      <c r="A89" s="16" t="s">
        <v>266</v>
      </c>
      <c r="B89" s="16" t="s">
        <v>159</v>
      </c>
      <c r="C89" s="16" t="s">
        <v>197</v>
      </c>
      <c r="D89" s="16" t="s">
        <v>308</v>
      </c>
      <c r="E89" s="23">
        <f t="shared" si="1"/>
        <v>2.333333333</v>
      </c>
      <c r="F89" s="16">
        <f>VLOOKUP(A89,Oonasfriend2!A:C,3,FALSE)</f>
        <v>3</v>
      </c>
      <c r="G89" s="16">
        <f>VLOOKUP(A89,Oonasfriend1!A:C,3,FALSE)</f>
        <v>1</v>
      </c>
      <c r="H89" s="16">
        <f>VLOOKUP(A89,Oona!A:C,3,FALSE)</f>
        <v>1</v>
      </c>
      <c r="I89" s="16">
        <f>VLOOKUP(A89,Ona!A:C,3,FALSE)</f>
        <v>2</v>
      </c>
      <c r="J89" s="16">
        <f>VLOOKUP(A89,Yuxin!A:C,3,FALSE)</f>
        <v>2</v>
      </c>
      <c r="K89" s="16">
        <f>VLOOKUP(A89,Linyao!A:C,3,FALSE)</f>
        <v>5</v>
      </c>
      <c r="L89" s="23">
        <f t="shared" si="2"/>
        <v>1.166666667</v>
      </c>
      <c r="M89" s="16">
        <f>VLOOKUP(A89,Oonasfriend2!A:D,4,FALSE)</f>
        <v>1</v>
      </c>
      <c r="N89" s="16">
        <f>VLOOKUP(A89,Oonasfriend1!A:D,4,FALSE)</f>
        <v>2</v>
      </c>
      <c r="O89" s="16">
        <f>VLOOKUP(A89,Oona!A:D,4,FALSE)</f>
        <v>1</v>
      </c>
      <c r="P89" s="16">
        <f>VLOOKUP(A89,Ona!A:D,4,FALSE)</f>
        <v>1</v>
      </c>
      <c r="Q89" s="16">
        <f>VLOOKUP(A89,Yuxin!A:D,4,FALSE)</f>
        <v>1</v>
      </c>
      <c r="R89" s="16">
        <f>VLOOKUP(A89,Linyao!A:D,4,FALSE)</f>
        <v>1</v>
      </c>
      <c r="S89" s="16"/>
      <c r="T89" s="16"/>
      <c r="U89" s="16"/>
      <c r="V89" s="16"/>
      <c r="W89" s="16"/>
      <c r="X89" s="16"/>
      <c r="Y89" s="16"/>
    </row>
    <row r="90" ht="15.75" customHeight="1">
      <c r="A90" s="16" t="s">
        <v>202</v>
      </c>
      <c r="B90" s="16" t="s">
        <v>160</v>
      </c>
      <c r="C90" s="16" t="s">
        <v>193</v>
      </c>
      <c r="D90" s="16" t="s">
        <v>309</v>
      </c>
      <c r="E90" s="23">
        <f t="shared" si="1"/>
        <v>2.166666667</v>
      </c>
      <c r="F90" s="16">
        <f>VLOOKUP(A90,Oonasfriend2!A:C,3,FALSE)</f>
        <v>1</v>
      </c>
      <c r="G90" s="16">
        <f>VLOOKUP(A90,Oonasfriend1!A:C,3,FALSE)</f>
        <v>4</v>
      </c>
      <c r="H90" s="16">
        <f>VLOOKUP(A90,Oona!A:C,3,FALSE)</f>
        <v>3</v>
      </c>
      <c r="I90" s="16">
        <f>VLOOKUP(A90,Ona!A:C,3,FALSE)</f>
        <v>2</v>
      </c>
      <c r="J90" s="16">
        <f>VLOOKUP(A90,Yuxin!A:C,3,FALSE)</f>
        <v>2</v>
      </c>
      <c r="K90" s="16">
        <f>VLOOKUP(A90,Linyao!A:C,3,FALSE)</f>
        <v>1</v>
      </c>
      <c r="L90" s="23">
        <f t="shared" si="2"/>
        <v>4.166666667</v>
      </c>
      <c r="M90" s="16">
        <f>VLOOKUP(A90,Oonasfriend2!A:D,4,FALSE)</f>
        <v>1</v>
      </c>
      <c r="N90" s="16">
        <f>VLOOKUP(A90,Oonasfriend1!A:D,4,FALSE)</f>
        <v>5</v>
      </c>
      <c r="O90" s="16">
        <f>VLOOKUP(A90,Oona!A:D,4,FALSE)</f>
        <v>5</v>
      </c>
      <c r="P90" s="16">
        <f>VLOOKUP(A90,Ona!A:D,4,FALSE)</f>
        <v>5</v>
      </c>
      <c r="Q90" s="16">
        <f>VLOOKUP(A90,Yuxin!A:D,4,FALSE)</f>
        <v>4</v>
      </c>
      <c r="R90" s="16">
        <f>VLOOKUP(A90,Linyao!A:D,4,FALSE)</f>
        <v>5</v>
      </c>
      <c r="S90" s="16"/>
      <c r="T90" s="16"/>
      <c r="U90" s="16"/>
      <c r="V90" s="16"/>
      <c r="W90" s="16"/>
      <c r="X90" s="16"/>
      <c r="Y90" s="16"/>
    </row>
    <row r="91" ht="15.75" customHeight="1">
      <c r="A91" s="16" t="s">
        <v>161</v>
      </c>
      <c r="B91" s="16" t="s">
        <v>162</v>
      </c>
      <c r="C91" s="16" t="s">
        <v>193</v>
      </c>
      <c r="D91" s="16" t="s">
        <v>310</v>
      </c>
      <c r="E91" s="23">
        <f t="shared" si="1"/>
        <v>2</v>
      </c>
      <c r="F91" s="16">
        <f>VLOOKUP(A91,Oonasfriend2!A:C,3,FALSE)</f>
        <v>2</v>
      </c>
      <c r="G91" s="16">
        <f>VLOOKUP(A91,Oonasfriend1!A:C,3,FALSE)</f>
        <v>4</v>
      </c>
      <c r="H91" s="16">
        <f>VLOOKUP(A91,Oona!A:C,3,FALSE)</f>
        <v>2</v>
      </c>
      <c r="I91" s="16">
        <f>VLOOKUP(A91,Ona!A:C,3,FALSE)</f>
        <v>1</v>
      </c>
      <c r="J91" s="16">
        <f>VLOOKUP(A91,Yuxin!A:C,3,FALSE)</f>
        <v>2</v>
      </c>
      <c r="K91" s="16">
        <f>VLOOKUP(A91,Linyao!A:C,3,FALSE)</f>
        <v>1</v>
      </c>
      <c r="L91" s="23">
        <f t="shared" si="2"/>
        <v>2.333333333</v>
      </c>
      <c r="M91" s="16">
        <f>VLOOKUP(A91,Oonasfriend2!A:D,4,FALSE)</f>
        <v>2</v>
      </c>
      <c r="N91" s="16">
        <f>VLOOKUP(A91,Oonasfriend1!A:D,4,FALSE)</f>
        <v>4</v>
      </c>
      <c r="O91" s="16">
        <f>VLOOKUP(A91,Oona!A:D,4,FALSE)</f>
        <v>3</v>
      </c>
      <c r="P91" s="16">
        <f>VLOOKUP(A91,Ona!A:D,4,FALSE)</f>
        <v>3</v>
      </c>
      <c r="Q91" s="16">
        <f>VLOOKUP(A91,Yuxin!A:D,4,FALSE)</f>
        <v>1</v>
      </c>
      <c r="R91" s="16">
        <f>VLOOKUP(A91,Linyao!A:D,4,FALSE)</f>
        <v>1</v>
      </c>
      <c r="S91" s="16"/>
      <c r="T91" s="16"/>
      <c r="U91" s="16"/>
      <c r="V91" s="16"/>
      <c r="W91" s="16"/>
      <c r="X91" s="16"/>
      <c r="Y91" s="16"/>
    </row>
    <row r="92" ht="15.75" customHeight="1">
      <c r="A92" s="16" t="s">
        <v>212</v>
      </c>
      <c r="B92" s="16" t="s">
        <v>163</v>
      </c>
      <c r="C92" s="16" t="s">
        <v>193</v>
      </c>
      <c r="D92" s="16" t="s">
        <v>311</v>
      </c>
      <c r="E92" s="23">
        <f t="shared" si="1"/>
        <v>2.666666667</v>
      </c>
      <c r="F92" s="16">
        <f>VLOOKUP(A92,Oonasfriend2!A:C,3,FALSE)</f>
        <v>3</v>
      </c>
      <c r="G92" s="16">
        <f>VLOOKUP(A92,Oonasfriend1!A:C,3,FALSE)</f>
        <v>5</v>
      </c>
      <c r="H92" s="16">
        <f>VLOOKUP(A92,Oona!A:C,3,FALSE)</f>
        <v>3</v>
      </c>
      <c r="I92" s="16">
        <f>VLOOKUP(A92,Ona!A:C,3,FALSE)</f>
        <v>2</v>
      </c>
      <c r="J92" s="16">
        <f>VLOOKUP(A92,Yuxin!A:C,3,FALSE)</f>
        <v>2</v>
      </c>
      <c r="K92" s="16">
        <f>VLOOKUP(A92,Linyao!A:C,3,FALSE)</f>
        <v>1</v>
      </c>
      <c r="L92" s="23">
        <f t="shared" si="2"/>
        <v>3.166666667</v>
      </c>
      <c r="M92" s="16">
        <f>VLOOKUP(A92,Oonasfriend2!A:D,4,FALSE)</f>
        <v>4</v>
      </c>
      <c r="N92" s="16">
        <f>VLOOKUP(A92,Oonasfriend1!A:D,4,FALSE)</f>
        <v>5</v>
      </c>
      <c r="O92" s="16">
        <f>VLOOKUP(A92,Oona!A:D,4,FALSE)</f>
        <v>3</v>
      </c>
      <c r="P92" s="16">
        <f>VLOOKUP(A92,Ona!A:D,4,FALSE)</f>
        <v>2</v>
      </c>
      <c r="Q92" s="16">
        <f>VLOOKUP(A92,Yuxin!A:D,4,FALSE)</f>
        <v>3</v>
      </c>
      <c r="R92" s="16">
        <f>VLOOKUP(A92,Linyao!A:D,4,FALSE)</f>
        <v>2</v>
      </c>
      <c r="S92" s="16"/>
      <c r="T92" s="16"/>
      <c r="U92" s="16"/>
      <c r="V92" s="16"/>
      <c r="W92" s="16"/>
      <c r="X92" s="16"/>
      <c r="Y92" s="16"/>
    </row>
    <row r="93" ht="15.75" customHeight="1">
      <c r="A93" s="16" t="s">
        <v>296</v>
      </c>
      <c r="B93" s="16" t="s">
        <v>164</v>
      </c>
      <c r="C93" s="16" t="s">
        <v>197</v>
      </c>
      <c r="D93" s="16" t="s">
        <v>312</v>
      </c>
      <c r="E93" s="23">
        <f t="shared" si="1"/>
        <v>1.333333333</v>
      </c>
      <c r="F93" s="16">
        <f>VLOOKUP(A93,Oonasfriend2!A:C,3,FALSE)</f>
        <v>1</v>
      </c>
      <c r="G93" s="16">
        <f>VLOOKUP(A93,Oonasfriend1!A:C,3,FALSE)</f>
        <v>2</v>
      </c>
      <c r="H93" s="16">
        <f>VLOOKUP(A93,Oona!A:C,3,FALSE)</f>
        <v>1</v>
      </c>
      <c r="I93" s="16">
        <f>VLOOKUP(A93,Ona!A:C,3,FALSE)</f>
        <v>1</v>
      </c>
      <c r="J93" s="16">
        <f>VLOOKUP(A93,Yuxin!A:C,3,FALSE)</f>
        <v>2</v>
      </c>
      <c r="K93" s="16">
        <f>VLOOKUP(A93,Linyao!A:C,3,FALSE)</f>
        <v>1</v>
      </c>
      <c r="L93" s="23">
        <f t="shared" si="2"/>
        <v>1.166666667</v>
      </c>
      <c r="M93" s="16">
        <f>VLOOKUP(A93,Oonasfriend2!A:D,4,FALSE)</f>
        <v>1</v>
      </c>
      <c r="N93" s="16">
        <f>VLOOKUP(A93,Oonasfriend1!A:D,4,FALSE)</f>
        <v>1</v>
      </c>
      <c r="O93" s="16">
        <f>VLOOKUP(A93,Oona!A:D,4,FALSE)</f>
        <v>1</v>
      </c>
      <c r="P93" s="16">
        <f>VLOOKUP(A93,Ona!A:D,4,FALSE)</f>
        <v>2</v>
      </c>
      <c r="Q93" s="16">
        <f>VLOOKUP(A93,Yuxin!A:D,4,FALSE)</f>
        <v>1</v>
      </c>
      <c r="R93" s="16">
        <f>VLOOKUP(A93,Linyao!A:D,4,FALSE)</f>
        <v>1</v>
      </c>
      <c r="S93" s="16"/>
      <c r="T93" s="16"/>
      <c r="U93" s="16"/>
      <c r="V93" s="16"/>
      <c r="W93" s="16"/>
      <c r="X93" s="16"/>
      <c r="Y93" s="16"/>
    </row>
    <row r="94" ht="15.75" customHeight="1">
      <c r="A94" s="16" t="s">
        <v>161</v>
      </c>
      <c r="B94" s="16" t="s">
        <v>165</v>
      </c>
      <c r="C94" s="16" t="s">
        <v>197</v>
      </c>
      <c r="D94" s="16" t="s">
        <v>313</v>
      </c>
      <c r="E94" s="23">
        <f t="shared" si="1"/>
        <v>2</v>
      </c>
      <c r="F94" s="16">
        <f>VLOOKUP(A94,Oonasfriend2!A:C,3,FALSE)</f>
        <v>2</v>
      </c>
      <c r="G94" s="16">
        <f>VLOOKUP(A94,Oonasfriend1!A:C,3,FALSE)</f>
        <v>4</v>
      </c>
      <c r="H94" s="16">
        <f>VLOOKUP(A94,Oona!A:C,3,FALSE)</f>
        <v>2</v>
      </c>
      <c r="I94" s="16">
        <f>VLOOKUP(A94,Ona!A:C,3,FALSE)</f>
        <v>1</v>
      </c>
      <c r="J94" s="16">
        <f>VLOOKUP(A94,Yuxin!A:C,3,FALSE)</f>
        <v>2</v>
      </c>
      <c r="K94" s="16">
        <f>VLOOKUP(A94,Linyao!A:C,3,FALSE)</f>
        <v>1</v>
      </c>
      <c r="L94" s="23">
        <f t="shared" si="2"/>
        <v>2.333333333</v>
      </c>
      <c r="M94" s="16">
        <f>VLOOKUP(A94,Oonasfriend2!A:D,4,FALSE)</f>
        <v>2</v>
      </c>
      <c r="N94" s="16">
        <f>VLOOKUP(A94,Oonasfriend1!A:D,4,FALSE)</f>
        <v>4</v>
      </c>
      <c r="O94" s="16">
        <f>VLOOKUP(A94,Oona!A:D,4,FALSE)</f>
        <v>3</v>
      </c>
      <c r="P94" s="16">
        <f>VLOOKUP(A94,Ona!A:D,4,FALSE)</f>
        <v>3</v>
      </c>
      <c r="Q94" s="16">
        <f>VLOOKUP(A94,Yuxin!A:D,4,FALSE)</f>
        <v>1</v>
      </c>
      <c r="R94" s="16">
        <f>VLOOKUP(A94,Linyao!A:D,4,FALSE)</f>
        <v>1</v>
      </c>
      <c r="S94" s="16"/>
      <c r="T94" s="16"/>
      <c r="U94" s="16"/>
      <c r="V94" s="16"/>
      <c r="W94" s="16"/>
      <c r="X94" s="16"/>
      <c r="Y94" s="16"/>
    </row>
    <row r="95" ht="15.75" customHeight="1">
      <c r="A95" s="16" t="s">
        <v>192</v>
      </c>
      <c r="B95" s="16" t="s">
        <v>166</v>
      </c>
      <c r="C95" s="16" t="s">
        <v>197</v>
      </c>
      <c r="D95" s="16" t="s">
        <v>314</v>
      </c>
      <c r="E95" s="23">
        <f t="shared" si="1"/>
        <v>2.333333333</v>
      </c>
      <c r="F95" s="16">
        <f>VLOOKUP(A95,Oonasfriend2!A:C,3,FALSE)</f>
        <v>1</v>
      </c>
      <c r="G95" s="16">
        <f>VLOOKUP(A95,Oonasfriend1!A:C,3,FALSE)</f>
        <v>2</v>
      </c>
      <c r="H95" s="16">
        <f>VLOOKUP(A95,Oona!A:C,3,FALSE)</f>
        <v>2</v>
      </c>
      <c r="I95" s="16">
        <f>VLOOKUP(A95,Ona!A:C,3,FALSE)</f>
        <v>3</v>
      </c>
      <c r="J95" s="16">
        <f>VLOOKUP(A95,Yuxin!A:C,3,FALSE)</f>
        <v>2</v>
      </c>
      <c r="K95" s="16">
        <f>VLOOKUP(A95,Linyao!A:C,3,FALSE)</f>
        <v>4</v>
      </c>
      <c r="L95" s="23">
        <f t="shared" si="2"/>
        <v>2.833333333</v>
      </c>
      <c r="M95" s="16">
        <f>VLOOKUP(A95,Oonasfriend2!A:D,4,FALSE)</f>
        <v>3</v>
      </c>
      <c r="N95" s="16">
        <f>VLOOKUP(A95,Oonasfriend1!A:D,4,FALSE)</f>
        <v>3</v>
      </c>
      <c r="O95" s="16">
        <f>VLOOKUP(A95,Oona!A:D,4,FALSE)</f>
        <v>3</v>
      </c>
      <c r="P95" s="16">
        <f>VLOOKUP(A95,Ona!A:D,4,FALSE)</f>
        <v>3</v>
      </c>
      <c r="Q95" s="16">
        <f>VLOOKUP(A95,Yuxin!A:D,4,FALSE)</f>
        <v>2</v>
      </c>
      <c r="R95" s="16">
        <f>VLOOKUP(A95,Linyao!A:D,4,FALSE)</f>
        <v>3</v>
      </c>
      <c r="S95" s="16"/>
      <c r="T95" s="16"/>
      <c r="U95" s="16"/>
      <c r="V95" s="16"/>
      <c r="W95" s="16"/>
      <c r="X95" s="16"/>
      <c r="Y95" s="16"/>
    </row>
    <row r="96" ht="15.75" customHeight="1">
      <c r="A96" s="16" t="s">
        <v>157</v>
      </c>
      <c r="B96" s="16" t="s">
        <v>167</v>
      </c>
      <c r="C96" s="16" t="s">
        <v>197</v>
      </c>
      <c r="D96" s="16" t="s">
        <v>315</v>
      </c>
      <c r="E96" s="23">
        <f t="shared" si="1"/>
        <v>2.5</v>
      </c>
      <c r="F96" s="16">
        <f>VLOOKUP(A96,Oonasfriend2!A:C,3,FALSE)</f>
        <v>2</v>
      </c>
      <c r="G96" s="16">
        <f>VLOOKUP(A96,Oonasfriend1!A:C,3,FALSE)</f>
        <v>3</v>
      </c>
      <c r="H96" s="16">
        <f>VLOOKUP(A96,Oona!A:C,3,FALSE)</f>
        <v>2</v>
      </c>
      <c r="I96" s="16">
        <f>VLOOKUP(A96,Ona!A:C,3,FALSE)</f>
        <v>3</v>
      </c>
      <c r="J96" s="16">
        <f>VLOOKUP(A96,Yuxin!A:C,3,FALSE)</f>
        <v>3</v>
      </c>
      <c r="K96" s="16">
        <f>VLOOKUP(A96,Linyao!A:C,3,FALSE)</f>
        <v>2</v>
      </c>
      <c r="L96" s="23">
        <f t="shared" si="2"/>
        <v>1.833333333</v>
      </c>
      <c r="M96" s="16">
        <f>VLOOKUP(A96,Oonasfriend2!A:D,4,FALSE)</f>
        <v>1</v>
      </c>
      <c r="N96" s="16">
        <f>VLOOKUP(A96,Oonasfriend1!A:D,4,FALSE)</f>
        <v>1</v>
      </c>
      <c r="O96" s="16">
        <f>VLOOKUP(A96,Oona!A:D,4,FALSE)</f>
        <v>1</v>
      </c>
      <c r="P96" s="16">
        <f>VLOOKUP(A96,Ona!A:D,4,FALSE)</f>
        <v>5</v>
      </c>
      <c r="Q96" s="16">
        <f>VLOOKUP(A96,Yuxin!A:D,4,FALSE)</f>
        <v>2</v>
      </c>
      <c r="R96" s="16">
        <f>VLOOKUP(A96,Linyao!A:D,4,FALSE)</f>
        <v>1</v>
      </c>
      <c r="S96" s="16"/>
      <c r="T96" s="16"/>
      <c r="U96" s="16"/>
      <c r="V96" s="16"/>
      <c r="W96" s="16"/>
      <c r="X96" s="16"/>
      <c r="Y96" s="16"/>
    </row>
    <row r="97" ht="15.75" customHeight="1">
      <c r="A97" s="16" t="s">
        <v>286</v>
      </c>
      <c r="B97" s="16" t="s">
        <v>168</v>
      </c>
      <c r="C97" s="16" t="s">
        <v>197</v>
      </c>
      <c r="D97" s="16" t="s">
        <v>316</v>
      </c>
      <c r="E97" s="23">
        <f t="shared" si="1"/>
        <v>1.5</v>
      </c>
      <c r="F97" s="16">
        <f>VLOOKUP(A97,Oonasfriend2!A:C,3,FALSE)</f>
        <v>1</v>
      </c>
      <c r="G97" s="16">
        <f>VLOOKUP(A97,Oonasfriend1!A:C,3,FALSE)</f>
        <v>2</v>
      </c>
      <c r="H97" s="16">
        <f>VLOOKUP(A97,Oona!A:C,3,FALSE)</f>
        <v>1</v>
      </c>
      <c r="I97" s="16">
        <f>VLOOKUP(A97,Ona!A:C,3,FALSE)</f>
        <v>2</v>
      </c>
      <c r="J97" s="16">
        <f>VLOOKUP(A97,Yuxin!A:C,3,FALSE)</f>
        <v>2</v>
      </c>
      <c r="K97" s="16">
        <f>VLOOKUP(A97,Linyao!A:C,3,FALSE)</f>
        <v>1</v>
      </c>
      <c r="L97" s="23">
        <f t="shared" si="2"/>
        <v>1</v>
      </c>
      <c r="M97" s="16">
        <f>VLOOKUP(A97,Oonasfriend2!A:D,4,FALSE)</f>
        <v>1</v>
      </c>
      <c r="N97" s="16">
        <f>VLOOKUP(A97,Oonasfriend1!A:D,4,FALSE)</f>
        <v>1</v>
      </c>
      <c r="O97" s="16">
        <f>VLOOKUP(A97,Oona!A:D,4,FALSE)</f>
        <v>1</v>
      </c>
      <c r="P97" s="16">
        <f>VLOOKUP(A97,Ona!A:D,4,FALSE)</f>
        <v>1</v>
      </c>
      <c r="Q97" s="16">
        <f>VLOOKUP(A97,Yuxin!A:D,4,FALSE)</f>
        <v>1</v>
      </c>
      <c r="R97" s="16">
        <f>VLOOKUP(A97,Linyao!A:D,4,FALSE)</f>
        <v>1</v>
      </c>
      <c r="S97" s="16"/>
      <c r="T97" s="16"/>
      <c r="U97" s="16"/>
      <c r="V97" s="16"/>
      <c r="W97" s="16"/>
      <c r="X97" s="16"/>
      <c r="Y97" s="16"/>
    </row>
    <row r="98" ht="15.75" customHeight="1">
      <c r="A98" s="16" t="s">
        <v>196</v>
      </c>
      <c r="B98" s="16" t="s">
        <v>169</v>
      </c>
      <c r="C98" s="16" t="s">
        <v>193</v>
      </c>
      <c r="D98" s="16" t="s">
        <v>317</v>
      </c>
      <c r="E98" s="23">
        <f t="shared" si="1"/>
        <v>1.666666667</v>
      </c>
      <c r="F98" s="16">
        <f>VLOOKUP(A98,Oonasfriend2!A:C,3,FALSE)</f>
        <v>1</v>
      </c>
      <c r="G98" s="16">
        <f>VLOOKUP(A98,Oonasfriend1!A:C,3,FALSE)</f>
        <v>3</v>
      </c>
      <c r="H98" s="16">
        <f>VLOOKUP(A98,Oona!A:C,3,FALSE)</f>
        <v>1</v>
      </c>
      <c r="I98" s="16">
        <f>VLOOKUP(A98,Ona!A:C,3,FALSE)</f>
        <v>1</v>
      </c>
      <c r="J98" s="16">
        <f>VLOOKUP(A98,Yuxin!A:C,3,FALSE)</f>
        <v>3</v>
      </c>
      <c r="K98" s="16">
        <f>VLOOKUP(A98,Linyao!A:C,3,FALSE)</f>
        <v>1</v>
      </c>
      <c r="L98" s="23">
        <f t="shared" si="2"/>
        <v>2.333333333</v>
      </c>
      <c r="M98" s="16">
        <f>VLOOKUP(A98,Oonasfriend2!A:D,4,FALSE)</f>
        <v>1</v>
      </c>
      <c r="N98" s="16">
        <f>VLOOKUP(A98,Oonasfriend1!A:D,4,FALSE)</f>
        <v>1</v>
      </c>
      <c r="O98" s="16">
        <f>VLOOKUP(A98,Oona!A:D,4,FALSE)</f>
        <v>1</v>
      </c>
      <c r="P98" s="16">
        <f>VLOOKUP(A98,Ona!A:D,4,FALSE)</f>
        <v>3</v>
      </c>
      <c r="Q98" s="16">
        <f>VLOOKUP(A98,Yuxin!A:D,4,FALSE)</f>
        <v>4</v>
      </c>
      <c r="R98" s="16">
        <f>VLOOKUP(A98,Linyao!A:D,4,FALSE)</f>
        <v>4</v>
      </c>
      <c r="S98" s="16"/>
      <c r="T98" s="16"/>
      <c r="U98" s="16"/>
      <c r="V98" s="16"/>
      <c r="W98" s="16"/>
      <c r="X98" s="16"/>
      <c r="Y98" s="16"/>
    </row>
    <row r="99" ht="15.75" customHeight="1">
      <c r="A99" s="16" t="s">
        <v>229</v>
      </c>
      <c r="B99" s="16" t="s">
        <v>170</v>
      </c>
      <c r="C99" s="16" t="s">
        <v>197</v>
      </c>
      <c r="D99" s="16" t="s">
        <v>318</v>
      </c>
      <c r="E99" s="23">
        <f t="shared" si="1"/>
        <v>1.833333333</v>
      </c>
      <c r="F99" s="16">
        <f>VLOOKUP(A99,Oonasfriend2!A:C,3,FALSE)</f>
        <v>1</v>
      </c>
      <c r="G99" s="16">
        <f>VLOOKUP(A99,Oonasfriend1!A:C,3,FALSE)</f>
        <v>3</v>
      </c>
      <c r="H99" s="16">
        <f>VLOOKUP(A99,Oona!A:C,3,FALSE)</f>
        <v>2</v>
      </c>
      <c r="I99" s="16">
        <f>VLOOKUP(A99,Ona!A:C,3,FALSE)</f>
        <v>1</v>
      </c>
      <c r="J99" s="16">
        <f>VLOOKUP(A99,Yuxin!A:C,3,FALSE)</f>
        <v>1</v>
      </c>
      <c r="K99" s="16">
        <f>VLOOKUP(A99,Linyao!A:C,3,FALSE)</f>
        <v>3</v>
      </c>
      <c r="L99" s="23">
        <f t="shared" si="2"/>
        <v>1.333333333</v>
      </c>
      <c r="M99" s="16">
        <f>VLOOKUP(A99,Oonasfriend2!A:D,4,FALSE)</f>
        <v>2</v>
      </c>
      <c r="N99" s="16">
        <f>VLOOKUP(A99,Oonasfriend1!A:D,4,FALSE)</f>
        <v>1</v>
      </c>
      <c r="O99" s="16">
        <f>VLOOKUP(A99,Oona!A:D,4,FALSE)</f>
        <v>1</v>
      </c>
      <c r="P99" s="16">
        <f>VLOOKUP(A99,Ona!A:D,4,FALSE)</f>
        <v>1</v>
      </c>
      <c r="Q99" s="16">
        <f>VLOOKUP(A99,Yuxin!A:D,4,FALSE)</f>
        <v>1</v>
      </c>
      <c r="R99" s="16">
        <f>VLOOKUP(A99,Linyao!A:D,4,FALSE)</f>
        <v>2</v>
      </c>
      <c r="S99" s="16"/>
      <c r="T99" s="16"/>
      <c r="U99" s="16"/>
      <c r="V99" s="16"/>
      <c r="W99" s="16"/>
      <c r="X99" s="16"/>
      <c r="Y99" s="16"/>
    </row>
    <row r="100" ht="15.75" customHeight="1">
      <c r="A100" s="16" t="s">
        <v>86</v>
      </c>
      <c r="B100" s="16" t="s">
        <v>171</v>
      </c>
      <c r="C100" s="16" t="s">
        <v>197</v>
      </c>
      <c r="D100" s="16" t="s">
        <v>319</v>
      </c>
      <c r="E100" s="23">
        <f t="shared" si="1"/>
        <v>3.166666667</v>
      </c>
      <c r="F100" s="16">
        <f>VLOOKUP(A100,Oonasfriend2!A:C,3,FALSE)</f>
        <v>1</v>
      </c>
      <c r="G100" s="16">
        <f>VLOOKUP(A100,Oonasfriend1!A:C,3,FALSE)</f>
        <v>4</v>
      </c>
      <c r="H100" s="16">
        <f>VLOOKUP(A100,Oona!A:C,3,FALSE)</f>
        <v>1</v>
      </c>
      <c r="I100" s="16">
        <f>VLOOKUP(A100,Ona!A:C,3,FALSE)</f>
        <v>5</v>
      </c>
      <c r="J100" s="16">
        <f>VLOOKUP(A100,Yuxin!A:C,3,FALSE)</f>
        <v>3</v>
      </c>
      <c r="K100" s="16">
        <f>VLOOKUP(A100,Linyao!A:C,3,FALSE)</f>
        <v>5</v>
      </c>
      <c r="L100" s="23">
        <f t="shared" si="2"/>
        <v>1</v>
      </c>
      <c r="M100" s="16">
        <f>VLOOKUP(A100,Oonasfriend2!A:D,4,FALSE)</f>
        <v>1</v>
      </c>
      <c r="N100" s="16">
        <f>VLOOKUP(A100,Oonasfriend1!A:D,4,FALSE)</f>
        <v>1</v>
      </c>
      <c r="O100" s="16">
        <f>VLOOKUP(A100,Oona!A:D,4,FALSE)</f>
        <v>1</v>
      </c>
      <c r="P100" s="16">
        <f>VLOOKUP(A100,Ona!A:D,4,FALSE)</f>
        <v>1</v>
      </c>
      <c r="Q100" s="16">
        <f>VLOOKUP(A100,Yuxin!A:D,4,FALSE)</f>
        <v>1</v>
      </c>
      <c r="R100" s="16">
        <f>VLOOKUP(A100,Linyao!A:D,4,FALSE)</f>
        <v>1</v>
      </c>
      <c r="S100" s="16"/>
      <c r="T100" s="16"/>
      <c r="U100" s="16"/>
      <c r="V100" s="16"/>
      <c r="W100" s="16"/>
      <c r="X100" s="16"/>
      <c r="Y100" s="16"/>
    </row>
    <row r="101" ht="15.75" customHeight="1">
      <c r="A101" s="16" t="s">
        <v>131</v>
      </c>
      <c r="B101" s="16" t="s">
        <v>172</v>
      </c>
      <c r="C101" s="16" t="s">
        <v>193</v>
      </c>
      <c r="D101" s="16" t="s">
        <v>320</v>
      </c>
      <c r="E101" s="23">
        <f t="shared" si="1"/>
        <v>1.666666667</v>
      </c>
      <c r="F101" s="16">
        <f>VLOOKUP(A101,Oonasfriend2!A:C,3,FALSE)</f>
        <v>1</v>
      </c>
      <c r="G101" s="16">
        <f>VLOOKUP(A101,Oonasfriend1!A:C,3,FALSE)</f>
        <v>2</v>
      </c>
      <c r="H101" s="16">
        <f>VLOOKUP(A101,Oona!A:C,3,FALSE)</f>
        <v>1</v>
      </c>
      <c r="I101" s="16">
        <f>VLOOKUP(A101,Ona!A:C,3,FALSE)</f>
        <v>1</v>
      </c>
      <c r="J101" s="16">
        <f>VLOOKUP(A101,Yuxin!A:C,3,FALSE)</f>
        <v>3</v>
      </c>
      <c r="K101" s="16">
        <f>VLOOKUP(A101,Linyao!A:C,3,FALSE)</f>
        <v>2</v>
      </c>
      <c r="L101" s="23">
        <f t="shared" si="2"/>
        <v>2</v>
      </c>
      <c r="M101" s="16">
        <f>VLOOKUP(A101,Oonasfriend2!A:D,4,FALSE)</f>
        <v>1</v>
      </c>
      <c r="N101" s="16">
        <f>VLOOKUP(A101,Oonasfriend1!A:D,4,FALSE)</f>
        <v>2</v>
      </c>
      <c r="O101" s="16">
        <f>VLOOKUP(A101,Oona!A:D,4,FALSE)</f>
        <v>1</v>
      </c>
      <c r="P101" s="16">
        <f>VLOOKUP(A101,Ona!A:D,4,FALSE)</f>
        <v>3</v>
      </c>
      <c r="Q101" s="16">
        <f>VLOOKUP(A101,Yuxin!A:D,4,FALSE)</f>
        <v>2</v>
      </c>
      <c r="R101" s="16">
        <f>VLOOKUP(A101,Linyao!A:D,4,FALSE)</f>
        <v>3</v>
      </c>
      <c r="S101" s="16"/>
      <c r="T101" s="16"/>
      <c r="U101" s="16"/>
      <c r="V101" s="16"/>
      <c r="W101" s="16"/>
      <c r="X101" s="16"/>
      <c r="Y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sheetData>
  <printOptions/>
  <pageMargins bottom="0.75" footer="0.0" header="0.0" left="0.7" right="0.7" top="0.75"/>
  <pageSetup orientation="landscape"/>
  <drawing r:id="rId1"/>
</worksheet>
</file>